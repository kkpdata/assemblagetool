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KA\sources\github\assemblage\workspace\input\"/>
    </mc:Choice>
  </mc:AlternateContent>
  <xr:revisionPtr revIDLastSave="0" documentId="13_ncr:1_{EF2ABDA2-599B-4106-BD0B-39BEEB32C418}" xr6:coauthVersionLast="47" xr6:coauthVersionMax="47" xr10:uidLastSave="{00000000-0000-0000-0000-000000000000}"/>
  <bookViews>
    <workbookView xWindow="-38520" yWindow="-120" windowWidth="38640" windowHeight="21120" tabRatio="500" xr2:uid="{00000000-000D-0000-FFFF-FFFF00000000}"/>
  </bookViews>
  <sheets>
    <sheet name="componenten" sheetId="1" r:id="rId1"/>
    <sheet name="faalmechanis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111" i="1" l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D6" i="1"/>
  <c r="G6" i="1"/>
  <c r="D7" i="1"/>
  <c r="G7" i="1"/>
  <c r="D8" i="1"/>
  <c r="G8" i="1"/>
  <c r="D9" i="1"/>
  <c r="G9" i="1"/>
  <c r="D10" i="1"/>
  <c r="G10" i="1"/>
  <c r="G2" i="1"/>
  <c r="G3" i="1"/>
  <c r="G4" i="1"/>
  <c r="G5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5" i="1"/>
  <c r="D4" i="1"/>
  <c r="D3" i="1"/>
  <c r="D2" i="1"/>
</calcChain>
</file>

<file path=xl/sharedStrings.xml><?xml version="1.0" encoding="utf-8"?>
<sst xmlns="http://schemas.openxmlformats.org/spreadsheetml/2006/main" count="385" uniqueCount="196">
  <si>
    <t>dijktraject</t>
  </si>
  <si>
    <t>m_van</t>
  </si>
  <si>
    <t>m_tot</t>
  </si>
  <si>
    <t>lengte</t>
  </si>
  <si>
    <t>Vaknaam</t>
  </si>
  <si>
    <t>id_initieel_mechanisme</t>
  </si>
  <si>
    <t>initieel_mechanisme</t>
  </si>
  <si>
    <t>a</t>
  </si>
  <si>
    <t>pf_dsn</t>
  </si>
  <si>
    <t>invloedsfactor_belasting</t>
  </si>
  <si>
    <t>dummy</t>
  </si>
  <si>
    <t>KW1</t>
  </si>
  <si>
    <t>id</t>
  </si>
  <si>
    <t>Aanzet_tot_falen</t>
  </si>
  <si>
    <t>Initieel_mechanisme</t>
  </si>
  <si>
    <t>Afk_faalmechanisme</t>
  </si>
  <si>
    <t>delta_L</t>
  </si>
  <si>
    <t>type_assemblage_tussen_vakken</t>
  </si>
  <si>
    <t>type_assemblage_binnen_vak</t>
  </si>
  <si>
    <t>rho_nul_k</t>
  </si>
  <si>
    <t>d_k</t>
  </si>
  <si>
    <t>Golfaanval op het buitentalud</t>
  </si>
  <si>
    <t>Falen asfaltbekleding door golfklappen</t>
  </si>
  <si>
    <t>AGK</t>
  </si>
  <si>
    <t>MAX</t>
  </si>
  <si>
    <t>Falen asfaltbekleding door wateroverdruk</t>
  </si>
  <si>
    <t>AWO</t>
  </si>
  <si>
    <t>Erosie van grasbekleding</t>
  </si>
  <si>
    <t>GEBU</t>
  </si>
  <si>
    <t>Afschuiving van grasbekleding</t>
  </si>
  <si>
    <t>GABU</t>
  </si>
  <si>
    <t>Instabiliteit steenzetting</t>
  </si>
  <si>
    <t>ZST</t>
  </si>
  <si>
    <t>Water dat over de waterkering stroomt</t>
  </si>
  <si>
    <t>Afschuiven grasbekleding binnentalud</t>
  </si>
  <si>
    <t>GABI</t>
  </si>
  <si>
    <t>Erosie kruin en binnentalud</t>
  </si>
  <si>
    <t>GEKB</t>
  </si>
  <si>
    <t>Hoge waterspanningen in en onder de waterkering</t>
  </si>
  <si>
    <t>Piping</t>
  </si>
  <si>
    <t>STPH</t>
  </si>
  <si>
    <t>SOM</t>
  </si>
  <si>
    <t>Binnenwaartse macro-instabiliteit</t>
  </si>
  <si>
    <t>STBI</t>
  </si>
  <si>
    <t>Micro-instabiliteit</t>
  </si>
  <si>
    <t>STMI</t>
  </si>
  <si>
    <t>Buitenwaartse macro-instabiliteit (indirect)</t>
  </si>
  <si>
    <t>STBU</t>
  </si>
  <si>
    <t>Waterkerend Kunstwerk faalt</t>
  </si>
  <si>
    <t>Hoogte kunstwerk</t>
  </si>
  <si>
    <t>HTKW</t>
  </si>
  <si>
    <t>Betrouwbaarheid sluiting Kunstwerk</t>
  </si>
  <si>
    <t>BSKW</t>
  </si>
  <si>
    <t>Piping bij kunstwerk</t>
  </si>
  <si>
    <t>STPHKW</t>
  </si>
  <si>
    <t>Sterkte en stabiliteit constructie</t>
  </si>
  <si>
    <t>STKW</t>
  </si>
  <si>
    <t>Zandige waterkering faalt</t>
  </si>
  <si>
    <t>Duinafslag</t>
  </si>
  <si>
    <t>DA</t>
  </si>
  <si>
    <t>KW2</t>
  </si>
  <si>
    <t>Langsconstructie</t>
  </si>
  <si>
    <t>GEKB_vak1</t>
  </si>
  <si>
    <t>GEKB_vak2</t>
  </si>
  <si>
    <t>GEKB_vak3</t>
  </si>
  <si>
    <t>GEKB_vak4</t>
  </si>
  <si>
    <t>GEKB_vak5</t>
  </si>
  <si>
    <t>GEKB_vak6</t>
  </si>
  <si>
    <t>GEKB_vak7</t>
  </si>
  <si>
    <t>GEKB_vak8</t>
  </si>
  <si>
    <t>GEKB_vak9</t>
  </si>
  <si>
    <t>GEKB_vak10</t>
  </si>
  <si>
    <t>GEKB_vak11</t>
  </si>
  <si>
    <t>GEKB_vak12</t>
  </si>
  <si>
    <t>GEKB_vak13</t>
  </si>
  <si>
    <t>GEKB_vak14</t>
  </si>
  <si>
    <t>GEKB_vak15</t>
  </si>
  <si>
    <t>GEKB_vak16</t>
  </si>
  <si>
    <t>GEKB_vak17</t>
  </si>
  <si>
    <t>GEKB_vak18</t>
  </si>
  <si>
    <t>GEKB_vak19</t>
  </si>
  <si>
    <t>GEKB_vak20</t>
  </si>
  <si>
    <t>GEKB_vak21</t>
  </si>
  <si>
    <t>GEKB_vak22</t>
  </si>
  <si>
    <t>GEKB_vak23</t>
  </si>
  <si>
    <t>GEKB_vak24</t>
  </si>
  <si>
    <t>GEKB_vak25</t>
  </si>
  <si>
    <t>GEKB_vak26</t>
  </si>
  <si>
    <t>GEKB_vak27</t>
  </si>
  <si>
    <t>GEKB_vak28</t>
  </si>
  <si>
    <t>GEKB_vak29</t>
  </si>
  <si>
    <t>GEKB_vak30</t>
  </si>
  <si>
    <t>GEKB_vak31</t>
  </si>
  <si>
    <t>GEKB_vak32</t>
  </si>
  <si>
    <t>GEKB_vak33</t>
  </si>
  <si>
    <t>GEKB_vak34</t>
  </si>
  <si>
    <t>GEKB_vak35</t>
  </si>
  <si>
    <t>GEKB_vak36</t>
  </si>
  <si>
    <t>GEKB_vak37</t>
  </si>
  <si>
    <t>GEKB_vak38</t>
  </si>
  <si>
    <t>GEKB_vak39</t>
  </si>
  <si>
    <t>GEKB_vak40</t>
  </si>
  <si>
    <t>GEKB_vak41</t>
  </si>
  <si>
    <t>GEKB_vak42</t>
  </si>
  <si>
    <t>GEKB_vak43</t>
  </si>
  <si>
    <t>GEKB_vak44</t>
  </si>
  <si>
    <t>GEKB_vak45</t>
  </si>
  <si>
    <t>GEKB_vak46</t>
  </si>
  <si>
    <t>GEKB_vak47</t>
  </si>
  <si>
    <t>GEKB_vak48</t>
  </si>
  <si>
    <t>GEKB_vak49</t>
  </si>
  <si>
    <t>GEKB_vak50</t>
  </si>
  <si>
    <t>GEKB_vak51</t>
  </si>
  <si>
    <t>GEKB_vak52</t>
  </si>
  <si>
    <t>GEKB_vak53</t>
  </si>
  <si>
    <t>GEKB_vak54</t>
  </si>
  <si>
    <t>GEKB_vak55</t>
  </si>
  <si>
    <t>GEKB_vak56</t>
  </si>
  <si>
    <t>GEKB_vak57</t>
  </si>
  <si>
    <t>GEKB_vak58</t>
  </si>
  <si>
    <t>GEKB_vak59</t>
  </si>
  <si>
    <t>GEKB_vak60</t>
  </si>
  <si>
    <t>GEKB_vak61</t>
  </si>
  <si>
    <t>GEKB_vak62</t>
  </si>
  <si>
    <t>GEKB_vak63</t>
  </si>
  <si>
    <t>GEKB_vak64</t>
  </si>
  <si>
    <t>GEKB_vak65</t>
  </si>
  <si>
    <t>GEKB_vak66</t>
  </si>
  <si>
    <t>GEKB_vak67</t>
  </si>
  <si>
    <t>GEKB_vak68</t>
  </si>
  <si>
    <t>GEKB_vak69</t>
  </si>
  <si>
    <t>GEKB_vak70</t>
  </si>
  <si>
    <t>GEKB_vak71</t>
  </si>
  <si>
    <t>GEKB_vak72</t>
  </si>
  <si>
    <t>GEKB_vak73</t>
  </si>
  <si>
    <t>GEKB_vak74</t>
  </si>
  <si>
    <t>GEKB_vak75</t>
  </si>
  <si>
    <t>GEKB_vak76</t>
  </si>
  <si>
    <t>GEKB_vak77</t>
  </si>
  <si>
    <t>GEKB_vak78</t>
  </si>
  <si>
    <t>GEKB_vak79</t>
  </si>
  <si>
    <t>GEKB_vak80</t>
  </si>
  <si>
    <t>GEKB_vak81</t>
  </si>
  <si>
    <t>GEKB_vak82</t>
  </si>
  <si>
    <t>GEKB_vak83</t>
  </si>
  <si>
    <t>GEKB_vak84</t>
  </si>
  <si>
    <t>GEKB_vak85</t>
  </si>
  <si>
    <t>GEKB_vak86</t>
  </si>
  <si>
    <t>GEKB_vak87</t>
  </si>
  <si>
    <t>GEKB_vak88</t>
  </si>
  <si>
    <t>GEKB_vak89</t>
  </si>
  <si>
    <t>GEKB_vak90</t>
  </si>
  <si>
    <t>GEKB_vak91</t>
  </si>
  <si>
    <t>GEKB_vak92</t>
  </si>
  <si>
    <t>GEKB_vak93</t>
  </si>
  <si>
    <t>GEKB_vak94</t>
  </si>
  <si>
    <t>GEKB_vak95</t>
  </si>
  <si>
    <t>GEKB_vak96</t>
  </si>
  <si>
    <t>GEKB_vak97</t>
  </si>
  <si>
    <t>GEKB_vak98</t>
  </si>
  <si>
    <t>GEKB_vak99</t>
  </si>
  <si>
    <t>GEKB_vak100</t>
  </si>
  <si>
    <t>STBI_vak1</t>
  </si>
  <si>
    <t>STBI_vak2</t>
  </si>
  <si>
    <t>STBI_vak3</t>
  </si>
  <si>
    <t>STBI_vak4</t>
  </si>
  <si>
    <t>STBI_vak5</t>
  </si>
  <si>
    <t>STBI_vak6</t>
  </si>
  <si>
    <t>STBI_vak7</t>
  </si>
  <si>
    <t>STBI_vak8</t>
  </si>
  <si>
    <t>STBI_vak9</t>
  </si>
  <si>
    <t>STBI_vak10</t>
  </si>
  <si>
    <t>STBI_vak11</t>
  </si>
  <si>
    <t>STBI_vak12</t>
  </si>
  <si>
    <t>STBI_vak13</t>
  </si>
  <si>
    <t>STBI_vak14</t>
  </si>
  <si>
    <t>STBI_vak15</t>
  </si>
  <si>
    <t>STBI_vak16</t>
  </si>
  <si>
    <t>STBI_vak17</t>
  </si>
  <si>
    <t>STBI_vak18</t>
  </si>
  <si>
    <t>STBI_vak19</t>
  </si>
  <si>
    <t>STBI_vak20</t>
  </si>
  <si>
    <t>STBI_vak21</t>
  </si>
  <si>
    <t>STBI_vak22</t>
  </si>
  <si>
    <t>STBI_vak23</t>
  </si>
  <si>
    <t>STBI_vak24</t>
  </si>
  <si>
    <t>STBI_vak25</t>
  </si>
  <si>
    <t>STBI_vak26</t>
  </si>
  <si>
    <t>STBI_vak27</t>
  </si>
  <si>
    <t>STBI_vak28</t>
  </si>
  <si>
    <t>STBI_vak29</t>
  </si>
  <si>
    <t>STBI_vak30</t>
  </si>
  <si>
    <t>STBI_vak31</t>
  </si>
  <si>
    <t>STBI_vak32</t>
  </si>
  <si>
    <t>STBI_vak33</t>
  </si>
  <si>
    <t>STBI_vak34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</si>
</sst>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Standaard" xfId="0" builtinId="0"/>
  </cellStyles>
  <dxfs count="2">
    <dxf>
      <numFmt numFmtId="15" formatCode="0.00E+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0EFB09-9E88-4253-A8CA-93BA5174B62B}" name="Componenten" displayName="Componenten" ref="A1:J144" totalsRowShown="0">
  <autoFilter ref="A1:J144" xr:uid="{480EFB09-9E88-4253-A8CA-93BA5174B62B}"/>
  <tableColumns count="10">
    <tableColumn id="1" xr3:uid="{162D90D6-7897-4D94-BC3A-AFF49D1FE0BD}" name="dijktraject"/>
    <tableColumn id="2" xr3:uid="{E19D547F-1FBA-4F7C-873D-F95FE633D228}" name="m_van"/>
    <tableColumn id="3" xr3:uid="{F72D3950-2A3E-406E-94A8-F346FD633A35}" name="m_tot"/>
    <tableColumn id="4" xr3:uid="{F25C1817-9F13-43E7-908B-E688C21A84C3}" name="lengte">
      <calculatedColumnFormula>C2-B2</calculatedColumnFormula>
    </tableColumn>
    <tableColumn id="5" xr3:uid="{31FEC05D-4809-453F-A8FE-9E6F21E272CD}" name="Vaknaam"/>
    <tableColumn id="6" xr3:uid="{46F6751B-BC9F-4BAB-9052-0B087F9C73D8}" name="id_initieel_mechanisme"/>
    <tableColumn id="7" xr3:uid="{9F370C09-92F1-42B1-9433-A1497A6471FC}" name="initieel_mechanisme" dataDxfId="1">
      <calculatedColumnFormula>LOOKUP(Componenten[[#This Row],[id_initieel_mechanisme]],Faalmechanismen[id],Faalmechanismen[Initieel_mechanisme])</calculatedColumnFormula>
    </tableColumn>
    <tableColumn id="8" xr3:uid="{B417D874-26F1-47E6-ABD9-46857DF4E8F2}" name="a"/>
    <tableColumn id="9" xr3:uid="{34E089A3-EE47-46D1-9A0C-75E12EACE4FF}" name="pf_dsn"/>
    <tableColumn id="10" xr3:uid="{F36F6D30-93E5-4FA8-998D-FDC12F800AEB}" name="invloedsfactor_belasting" dataDxfId="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74CA82-43C6-494A-A3AA-2FD9168E715A}" name="Faalmechanismen" displayName="Faalmechanismen" ref="A1:I17" totalsRowShown="0">
  <autoFilter ref="A1:I17" xr:uid="{D074CA82-43C6-494A-A3AA-2FD9168E715A}"/>
  <tableColumns count="9">
    <tableColumn id="1" xr3:uid="{F4710955-CEBC-4546-B706-1283DEADC57A}" name="id"/>
    <tableColumn id="2" xr3:uid="{47B0ADF5-72B4-4D54-BBB8-D01F08EE383A}" name="Aanzet_tot_falen"/>
    <tableColumn id="3" xr3:uid="{EDBB43B1-BF57-4A45-BB5F-576F1A1F06C1}" name="Initieel_mechanisme"/>
    <tableColumn id="4" xr3:uid="{EA413605-A280-4D0E-AA0C-ED8A9E00A31B}" name="Afk_faalmechanisme"/>
    <tableColumn id="5" xr3:uid="{3F792EEE-AA7C-4D8C-AE16-BE880EDCE1F5}" name="delta_L"/>
    <tableColumn id="6" xr3:uid="{2318B872-457A-4853-8136-9D709AE20C52}" name="type_assemblage_tussen_vakken"/>
    <tableColumn id="7" xr3:uid="{FC126BAA-5C7E-4498-8C52-11FCD8DF105B}" name="type_assemblage_binnen_vak"/>
    <tableColumn id="8" xr3:uid="{028B55AD-82F4-483C-B3E7-896E90FC98E8}" name="rho_nul_k"/>
    <tableColumn id="9" xr3:uid="{5E88240E-D8FD-4072-A516-12730DEA8601}" name="d_k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"/>
  <sheetViews>
    <sheetView tabSelected="1" topLeftCell="A52" zoomScale="120" zoomScaleNormal="120" workbookViewId="0">
      <selection activeCell="M83" sqref="M83"/>
    </sheetView>
  </sheetViews>
  <sheetFormatPr defaultColWidth="11.5703125" defaultRowHeight="12.75" customHeight="1" x14ac:dyDescent="0.2"/>
  <cols>
    <col min="1" max="1" width="12.28515625" bestFit="1" customWidth="1"/>
    <col min="2" max="2" width="9.28515625" bestFit="1" customWidth="1"/>
    <col min="3" max="3" width="8.28515625" bestFit="1" customWidth="1"/>
    <col min="4" max="4" width="9" bestFit="1" customWidth="1"/>
    <col min="5" max="5" width="15.28515625" bestFit="1" customWidth="1"/>
    <col min="6" max="6" width="25.28515625" bestFit="1" customWidth="1"/>
    <col min="7" max="7" width="31.140625" bestFit="1" customWidth="1"/>
    <col min="8" max="8" width="4.42578125" bestFit="1" customWidth="1"/>
    <col min="9" max="9" width="13.140625" bestFit="1" customWidth="1"/>
    <col min="10" max="10" width="25.7109375" bestFit="1" customWidth="1"/>
    <col min="12" max="12" width="3.28515625" bestFit="1" customWidth="1"/>
    <col min="13" max="13" width="11.28515625" bestFit="1" customWidth="1"/>
    <col min="14" max="15" width="6.42578125" bestFit="1" customWidth="1"/>
    <col min="16" max="16" width="12.85546875" bestFit="1" customWidth="1"/>
    <col min="17" max="17" width="13.140625" bestFit="1" customWidth="1"/>
  </cols>
  <sheetData>
    <row r="1" spans="1:10" ht="12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2.75" customHeight="1" x14ac:dyDescent="0.2">
      <c r="A2" t="s">
        <v>10</v>
      </c>
      <c r="B2">
        <v>1000</v>
      </c>
      <c r="C2">
        <v>1030</v>
      </c>
      <c r="D2">
        <f t="shared" ref="D2:D33" si="0">C2-B2</f>
        <v>30</v>
      </c>
      <c r="E2" t="s">
        <v>11</v>
      </c>
      <c r="F2">
        <v>12</v>
      </c>
      <c r="G2" t="str">
        <f>LOOKUP(Componenten[[#This Row],[id_initieel_mechanisme]],Faalmechanismen[id],Faalmechanismen[Initieel_mechanisme])</f>
        <v>Hoogte kunstwerk</v>
      </c>
      <c r="H2">
        <v>1</v>
      </c>
      <c r="I2" s="1">
        <v>6.9999999999999999E-6</v>
      </c>
      <c r="J2">
        <v>0.95</v>
      </c>
    </row>
    <row r="3" spans="1:10" ht="12.75" customHeight="1" x14ac:dyDescent="0.2">
      <c r="A3" t="s">
        <v>10</v>
      </c>
      <c r="B3">
        <v>1000</v>
      </c>
      <c r="C3">
        <v>1030</v>
      </c>
      <c r="D3">
        <f t="shared" si="0"/>
        <v>30</v>
      </c>
      <c r="E3" t="s">
        <v>11</v>
      </c>
      <c r="F3">
        <v>13</v>
      </c>
      <c r="G3" t="str">
        <f>LOOKUP(Componenten[[#This Row],[id_initieel_mechanisme]],Faalmechanismen[id],Faalmechanismen[Initieel_mechanisme])</f>
        <v>Betrouwbaarheid sluiting Kunstwerk</v>
      </c>
      <c r="H3">
        <v>1</v>
      </c>
      <c r="I3" s="1">
        <v>9.9999999999999995E-8</v>
      </c>
      <c r="J3">
        <v>0.5</v>
      </c>
    </row>
    <row r="4" spans="1:10" ht="12.75" customHeight="1" x14ac:dyDescent="0.2">
      <c r="A4" t="s">
        <v>10</v>
      </c>
      <c r="B4">
        <v>1000</v>
      </c>
      <c r="C4">
        <v>1030</v>
      </c>
      <c r="D4">
        <f t="shared" si="0"/>
        <v>30</v>
      </c>
      <c r="E4" t="s">
        <v>11</v>
      </c>
      <c r="F4">
        <v>14</v>
      </c>
      <c r="G4" t="str">
        <f>LOOKUP(Componenten[[#This Row],[id_initieel_mechanisme]],Faalmechanismen[id],Faalmechanismen[Initieel_mechanisme])</f>
        <v>Piping bij kunstwerk</v>
      </c>
      <c r="H4">
        <v>1</v>
      </c>
      <c r="I4" s="1">
        <v>1.0000000000000001E-5</v>
      </c>
      <c r="J4">
        <v>0.5</v>
      </c>
    </row>
    <row r="5" spans="1:10" ht="12.75" customHeight="1" x14ac:dyDescent="0.2">
      <c r="A5" t="s">
        <v>10</v>
      </c>
      <c r="B5">
        <v>1000</v>
      </c>
      <c r="C5">
        <v>1030</v>
      </c>
      <c r="D5">
        <f t="shared" si="0"/>
        <v>30</v>
      </c>
      <c r="E5" t="s">
        <v>11</v>
      </c>
      <c r="F5">
        <v>15</v>
      </c>
      <c r="G5" t="str">
        <f>LOOKUP(Componenten[[#This Row],[id_initieel_mechanisme]],Faalmechanismen[id],Faalmechanismen[Initieel_mechanisme])</f>
        <v>Sterkte en stabiliteit constructie</v>
      </c>
      <c r="H5">
        <v>1</v>
      </c>
      <c r="I5" s="1">
        <v>9.9999999999999995E-8</v>
      </c>
      <c r="J5">
        <v>0.5</v>
      </c>
    </row>
    <row r="6" spans="1:10" ht="12.75" customHeight="1" x14ac:dyDescent="0.2">
      <c r="A6" t="s">
        <v>10</v>
      </c>
      <c r="B6">
        <v>4500</v>
      </c>
      <c r="C6">
        <v>4530</v>
      </c>
      <c r="D6">
        <f t="shared" si="0"/>
        <v>30</v>
      </c>
      <c r="E6" t="s">
        <v>60</v>
      </c>
      <c r="F6">
        <v>13</v>
      </c>
      <c r="G6" t="str">
        <f>LOOKUP(Componenten[[#This Row],[id_initieel_mechanisme]],Faalmechanismen[id],Faalmechanismen[Initieel_mechanisme])</f>
        <v>Betrouwbaarheid sluiting Kunstwerk</v>
      </c>
      <c r="H6">
        <v>1</v>
      </c>
      <c r="I6" s="1">
        <v>5.0000000000000002E-5</v>
      </c>
      <c r="J6">
        <v>0.5</v>
      </c>
    </row>
    <row r="7" spans="1:10" ht="12.75" customHeight="1" x14ac:dyDescent="0.2">
      <c r="A7" t="s">
        <v>10</v>
      </c>
      <c r="B7">
        <v>4500</v>
      </c>
      <c r="C7">
        <v>4530</v>
      </c>
      <c r="D7">
        <f t="shared" si="0"/>
        <v>30</v>
      </c>
      <c r="E7" t="s">
        <v>60</v>
      </c>
      <c r="F7">
        <v>14</v>
      </c>
      <c r="G7" t="str">
        <f>LOOKUP(Componenten[[#This Row],[id_initieel_mechanisme]],Faalmechanismen[id],Faalmechanismen[Initieel_mechanisme])</f>
        <v>Piping bij kunstwerk</v>
      </c>
      <c r="H7">
        <v>1</v>
      </c>
      <c r="I7" s="1">
        <v>7.0000000000000005E-8</v>
      </c>
      <c r="J7">
        <v>0.5</v>
      </c>
    </row>
    <row r="8" spans="1:10" ht="12.75" customHeight="1" x14ac:dyDescent="0.2">
      <c r="A8" t="s">
        <v>10</v>
      </c>
      <c r="B8">
        <v>4500</v>
      </c>
      <c r="C8">
        <v>4530</v>
      </c>
      <c r="D8">
        <f t="shared" si="0"/>
        <v>30</v>
      </c>
      <c r="E8" t="s">
        <v>60</v>
      </c>
      <c r="F8">
        <v>15</v>
      </c>
      <c r="G8" t="str">
        <f>LOOKUP(Componenten[[#This Row],[id_initieel_mechanisme]],Faalmechanismen[id],Faalmechanismen[Initieel_mechanisme])</f>
        <v>Sterkte en stabiliteit constructie</v>
      </c>
      <c r="H8">
        <v>1</v>
      </c>
      <c r="I8" s="1">
        <v>7.0000000000000005E-8</v>
      </c>
      <c r="J8">
        <v>0.5</v>
      </c>
    </row>
    <row r="9" spans="1:10" ht="12.75" customHeight="1" x14ac:dyDescent="0.2">
      <c r="A9" t="s">
        <v>10</v>
      </c>
      <c r="B9">
        <v>4500</v>
      </c>
      <c r="C9">
        <v>4530</v>
      </c>
      <c r="D9">
        <f t="shared" si="0"/>
        <v>30</v>
      </c>
      <c r="E9" t="s">
        <v>60</v>
      </c>
      <c r="F9">
        <v>15</v>
      </c>
      <c r="G9" t="str">
        <f>LOOKUP(Componenten[[#This Row],[id_initieel_mechanisme]],Faalmechanismen[id],Faalmechanismen[Initieel_mechanisme])</f>
        <v>Sterkte en stabiliteit constructie</v>
      </c>
      <c r="H9">
        <v>1</v>
      </c>
      <c r="I9" s="1">
        <v>1E-8</v>
      </c>
      <c r="J9">
        <v>0.5</v>
      </c>
    </row>
    <row r="10" spans="1:10" ht="12.75" customHeight="1" x14ac:dyDescent="0.2">
      <c r="A10" t="s">
        <v>10</v>
      </c>
      <c r="B10">
        <v>2500</v>
      </c>
      <c r="C10">
        <v>2750</v>
      </c>
      <c r="D10">
        <f t="shared" si="0"/>
        <v>250</v>
      </c>
      <c r="E10" t="s">
        <v>61</v>
      </c>
      <c r="F10">
        <v>15</v>
      </c>
      <c r="G10" t="str">
        <f>LOOKUP(Componenten[[#This Row],[id_initieel_mechanisme]],Faalmechanismen[id],Faalmechanismen[Initieel_mechanisme])</f>
        <v>Sterkte en stabiliteit constructie</v>
      </c>
      <c r="H10">
        <v>1</v>
      </c>
      <c r="I10" s="1">
        <v>1E-10</v>
      </c>
      <c r="J10">
        <v>0.5</v>
      </c>
    </row>
    <row r="11" spans="1:10" ht="12.75" customHeight="1" x14ac:dyDescent="0.2">
      <c r="A11" t="s">
        <v>10</v>
      </c>
      <c r="B11">
        <v>0</v>
      </c>
      <c r="C11">
        <v>100</v>
      </c>
      <c r="D11">
        <f t="shared" si="0"/>
        <v>100</v>
      </c>
      <c r="E11" t="s">
        <v>62</v>
      </c>
      <c r="F11">
        <v>7</v>
      </c>
      <c r="G11" t="str">
        <f>LOOKUP(Componenten[[#This Row],[id_initieel_mechanisme]],Faalmechanismen[id],Faalmechanismen[Initieel_mechanisme])</f>
        <v>Erosie kruin en binnentalud</v>
      </c>
      <c r="H11">
        <v>1</v>
      </c>
      <c r="I11">
        <v>1.4990810872333199E-5</v>
      </c>
      <c r="J11">
        <v>0.95</v>
      </c>
    </row>
    <row r="12" spans="1:10" ht="12.75" customHeight="1" x14ac:dyDescent="0.2">
      <c r="A12" t="s">
        <v>10</v>
      </c>
      <c r="B12">
        <v>100</v>
      </c>
      <c r="C12">
        <v>200</v>
      </c>
      <c r="D12">
        <f t="shared" si="0"/>
        <v>100</v>
      </c>
      <c r="E12" t="s">
        <v>63</v>
      </c>
      <c r="F12">
        <v>7</v>
      </c>
      <c r="G12" t="str">
        <f>LOOKUP(Componenten[[#This Row],[id_initieel_mechanisme]],Faalmechanismen[id],Faalmechanismen[Initieel_mechanisme])</f>
        <v>Erosie kruin en binnentalud</v>
      </c>
      <c r="H12">
        <v>1</v>
      </c>
      <c r="I12">
        <v>8.2114362454757795E-8</v>
      </c>
      <c r="J12">
        <v>0.95</v>
      </c>
    </row>
    <row r="13" spans="1:10" ht="12.75" customHeight="1" x14ac:dyDescent="0.2">
      <c r="A13" t="s">
        <v>10</v>
      </c>
      <c r="B13">
        <v>200</v>
      </c>
      <c r="C13">
        <v>300</v>
      </c>
      <c r="D13">
        <f t="shared" si="0"/>
        <v>100</v>
      </c>
      <c r="E13" t="s">
        <v>64</v>
      </c>
      <c r="F13">
        <v>7</v>
      </c>
      <c r="G13" t="str">
        <f>LOOKUP(Componenten[[#This Row],[id_initieel_mechanisme]],Faalmechanismen[id],Faalmechanismen[Initieel_mechanisme])</f>
        <v>Erosie kruin en binnentalud</v>
      </c>
      <c r="H13">
        <v>1</v>
      </c>
      <c r="I13">
        <v>2.4340144504428999E-5</v>
      </c>
      <c r="J13">
        <v>0.95</v>
      </c>
    </row>
    <row r="14" spans="1:10" ht="12.75" customHeight="1" x14ac:dyDescent="0.2">
      <c r="A14" t="s">
        <v>10</v>
      </c>
      <c r="B14">
        <v>300</v>
      </c>
      <c r="C14">
        <v>400</v>
      </c>
      <c r="D14">
        <f t="shared" si="0"/>
        <v>100</v>
      </c>
      <c r="E14" t="s">
        <v>65</v>
      </c>
      <c r="F14">
        <v>7</v>
      </c>
      <c r="G14" t="str">
        <f>LOOKUP(Componenten[[#This Row],[id_initieel_mechanisme]],Faalmechanismen[id],Faalmechanismen[Initieel_mechanisme])</f>
        <v>Erosie kruin en binnentalud</v>
      </c>
      <c r="H14">
        <v>1</v>
      </c>
      <c r="I14">
        <v>1.271473431699E-5</v>
      </c>
      <c r="J14">
        <v>0.95</v>
      </c>
    </row>
    <row r="15" spans="1:10" ht="12.75" customHeight="1" x14ac:dyDescent="0.2">
      <c r="A15" t="s">
        <v>10</v>
      </c>
      <c r="B15">
        <v>400</v>
      </c>
      <c r="C15">
        <v>500</v>
      </c>
      <c r="D15">
        <f t="shared" si="0"/>
        <v>100</v>
      </c>
      <c r="E15" t="s">
        <v>66</v>
      </c>
      <c r="F15">
        <v>7</v>
      </c>
      <c r="G15" t="str">
        <f>LOOKUP(Componenten[[#This Row],[id_initieel_mechanisme]],Faalmechanismen[id],Faalmechanismen[Initieel_mechanisme])</f>
        <v>Erosie kruin en binnentalud</v>
      </c>
      <c r="H15">
        <v>1</v>
      </c>
      <c r="I15">
        <v>1.1198049934318901E-5</v>
      </c>
      <c r="J15">
        <v>0.95</v>
      </c>
    </row>
    <row r="16" spans="1:10" ht="12.75" customHeight="1" x14ac:dyDescent="0.2">
      <c r="A16" t="s">
        <v>10</v>
      </c>
      <c r="B16">
        <v>500</v>
      </c>
      <c r="C16">
        <v>600</v>
      </c>
      <c r="D16">
        <f t="shared" si="0"/>
        <v>100</v>
      </c>
      <c r="E16" t="s">
        <v>67</v>
      </c>
      <c r="F16">
        <v>7</v>
      </c>
      <c r="G16" t="str">
        <f>LOOKUP(Componenten[[#This Row],[id_initieel_mechanisme]],Faalmechanismen[id],Faalmechanismen[Initieel_mechanisme])</f>
        <v>Erosie kruin en binnentalud</v>
      </c>
      <c r="H16">
        <v>1</v>
      </c>
      <c r="I16">
        <v>3.1590020514043402E-3</v>
      </c>
      <c r="J16">
        <v>0.95</v>
      </c>
    </row>
    <row r="17" spans="1:10" ht="12.75" customHeight="1" x14ac:dyDescent="0.2">
      <c r="A17" t="s">
        <v>10</v>
      </c>
      <c r="B17">
        <v>600</v>
      </c>
      <c r="C17">
        <v>700</v>
      </c>
      <c r="D17">
        <f t="shared" si="0"/>
        <v>100</v>
      </c>
      <c r="E17" t="s">
        <v>68</v>
      </c>
      <c r="F17">
        <v>7</v>
      </c>
      <c r="G17" t="str">
        <f>LOOKUP(Componenten[[#This Row],[id_initieel_mechanisme]],Faalmechanismen[id],Faalmechanismen[Initieel_mechanisme])</f>
        <v>Erosie kruin en binnentalud</v>
      </c>
      <c r="H17">
        <v>1</v>
      </c>
      <c r="I17">
        <v>3.6455930207584598E-4</v>
      </c>
      <c r="J17">
        <v>0.95</v>
      </c>
    </row>
    <row r="18" spans="1:10" ht="12.75" customHeight="1" x14ac:dyDescent="0.2">
      <c r="A18" t="s">
        <v>10</v>
      </c>
      <c r="B18">
        <v>700</v>
      </c>
      <c r="C18">
        <v>800</v>
      </c>
      <c r="D18">
        <f t="shared" si="0"/>
        <v>100</v>
      </c>
      <c r="E18" t="s">
        <v>69</v>
      </c>
      <c r="F18">
        <v>7</v>
      </c>
      <c r="G18" t="str">
        <f>LOOKUP(Componenten[[#This Row],[id_initieel_mechanisme]],Faalmechanismen[id],Faalmechanismen[Initieel_mechanisme])</f>
        <v>Erosie kruin en binnentalud</v>
      </c>
      <c r="H18">
        <v>1</v>
      </c>
      <c r="I18">
        <v>6.2194572505488401E-6</v>
      </c>
      <c r="J18">
        <v>0.95</v>
      </c>
    </row>
    <row r="19" spans="1:10" ht="12.75" customHeight="1" x14ac:dyDescent="0.2">
      <c r="A19" t="s">
        <v>10</v>
      </c>
      <c r="B19">
        <v>800</v>
      </c>
      <c r="C19">
        <v>900</v>
      </c>
      <c r="D19">
        <f t="shared" si="0"/>
        <v>100</v>
      </c>
      <c r="E19" t="s">
        <v>70</v>
      </c>
      <c r="F19">
        <v>7</v>
      </c>
      <c r="G19" t="str">
        <f>LOOKUP(Componenten[[#This Row],[id_initieel_mechanisme]],Faalmechanismen[id],Faalmechanismen[Initieel_mechanisme])</f>
        <v>Erosie kruin en binnentalud</v>
      </c>
      <c r="H19">
        <v>1</v>
      </c>
      <c r="I19">
        <v>2.3705799892677801E-6</v>
      </c>
      <c r="J19">
        <v>0.95</v>
      </c>
    </row>
    <row r="20" spans="1:10" ht="12.75" customHeight="1" x14ac:dyDescent="0.2">
      <c r="A20" t="s">
        <v>10</v>
      </c>
      <c r="B20">
        <v>900</v>
      </c>
      <c r="C20">
        <v>1000</v>
      </c>
      <c r="D20">
        <f t="shared" si="0"/>
        <v>100</v>
      </c>
      <c r="E20" t="s">
        <v>71</v>
      </c>
      <c r="F20">
        <v>7</v>
      </c>
      <c r="G20" t="str">
        <f>LOOKUP(Componenten[[#This Row],[id_initieel_mechanisme]],Faalmechanismen[id],Faalmechanismen[Initieel_mechanisme])</f>
        <v>Erosie kruin en binnentalud</v>
      </c>
      <c r="H20">
        <v>1</v>
      </c>
      <c r="I20">
        <v>1.4847086919409399E-6</v>
      </c>
      <c r="J20">
        <v>0.95</v>
      </c>
    </row>
    <row r="21" spans="1:10" ht="12.75" customHeight="1" x14ac:dyDescent="0.2">
      <c r="A21" t="s">
        <v>10</v>
      </c>
      <c r="B21">
        <v>1000</v>
      </c>
      <c r="C21">
        <v>1100</v>
      </c>
      <c r="D21">
        <f t="shared" si="0"/>
        <v>100</v>
      </c>
      <c r="E21" t="s">
        <v>72</v>
      </c>
      <c r="F21">
        <v>7</v>
      </c>
      <c r="G21" t="str">
        <f>LOOKUP(Componenten[[#This Row],[id_initieel_mechanisme]],Faalmechanismen[id],Faalmechanismen[Initieel_mechanisme])</f>
        <v>Erosie kruin en binnentalud</v>
      </c>
      <c r="H21">
        <v>1</v>
      </c>
      <c r="I21">
        <v>4.4192627760271201E-5</v>
      </c>
      <c r="J21">
        <v>0.95</v>
      </c>
    </row>
    <row r="22" spans="1:10" ht="12.75" customHeight="1" x14ac:dyDescent="0.2">
      <c r="A22" t="s">
        <v>10</v>
      </c>
      <c r="B22">
        <v>1100</v>
      </c>
      <c r="C22">
        <v>1200</v>
      </c>
      <c r="D22">
        <f t="shared" si="0"/>
        <v>100</v>
      </c>
      <c r="E22" t="s">
        <v>73</v>
      </c>
      <c r="F22">
        <v>7</v>
      </c>
      <c r="G22" t="str">
        <f>LOOKUP(Componenten[[#This Row],[id_initieel_mechanisme]],Faalmechanismen[id],Faalmechanismen[Initieel_mechanisme])</f>
        <v>Erosie kruin en binnentalud</v>
      </c>
      <c r="H22">
        <v>1</v>
      </c>
      <c r="I22">
        <v>4.0143475427190101E-5</v>
      </c>
      <c r="J22">
        <v>0.95</v>
      </c>
    </row>
    <row r="23" spans="1:10" ht="12.75" customHeight="1" x14ac:dyDescent="0.2">
      <c r="A23" t="s">
        <v>10</v>
      </c>
      <c r="B23">
        <v>1200</v>
      </c>
      <c r="C23">
        <v>1300</v>
      </c>
      <c r="D23">
        <f t="shared" si="0"/>
        <v>100</v>
      </c>
      <c r="E23" t="s">
        <v>74</v>
      </c>
      <c r="F23">
        <v>7</v>
      </c>
      <c r="G23" t="str">
        <f>LOOKUP(Componenten[[#This Row],[id_initieel_mechanisme]],Faalmechanismen[id],Faalmechanismen[Initieel_mechanisme])</f>
        <v>Erosie kruin en binnentalud</v>
      </c>
      <c r="H23">
        <v>1</v>
      </c>
      <c r="I23">
        <v>2.24647852325393E-5</v>
      </c>
      <c r="J23">
        <v>0.95</v>
      </c>
    </row>
    <row r="24" spans="1:10" ht="12.75" customHeight="1" x14ac:dyDescent="0.2">
      <c r="A24" t="s">
        <v>10</v>
      </c>
      <c r="B24">
        <v>1300</v>
      </c>
      <c r="C24">
        <v>1400</v>
      </c>
      <c r="D24">
        <f t="shared" si="0"/>
        <v>100</v>
      </c>
      <c r="E24" t="s">
        <v>75</v>
      </c>
      <c r="F24">
        <v>7</v>
      </c>
      <c r="G24" t="str">
        <f>LOOKUP(Componenten[[#This Row],[id_initieel_mechanisme]],Faalmechanismen[id],Faalmechanismen[Initieel_mechanisme])</f>
        <v>Erosie kruin en binnentalud</v>
      </c>
      <c r="H24">
        <v>1</v>
      </c>
      <c r="I24">
        <v>4.0226398579660998E-6</v>
      </c>
      <c r="J24">
        <v>0.95</v>
      </c>
    </row>
    <row r="25" spans="1:10" ht="12.75" customHeight="1" x14ac:dyDescent="0.2">
      <c r="A25" t="s">
        <v>10</v>
      </c>
      <c r="B25">
        <v>1400</v>
      </c>
      <c r="C25">
        <v>1500</v>
      </c>
      <c r="D25">
        <f t="shared" si="0"/>
        <v>100</v>
      </c>
      <c r="E25" t="s">
        <v>76</v>
      </c>
      <c r="F25">
        <v>7</v>
      </c>
      <c r="G25" t="str">
        <f>LOOKUP(Componenten[[#This Row],[id_initieel_mechanisme]],Faalmechanismen[id],Faalmechanismen[Initieel_mechanisme])</f>
        <v>Erosie kruin en binnentalud</v>
      </c>
      <c r="H25">
        <v>1</v>
      </c>
      <c r="I25">
        <v>3.05210581758546E-4</v>
      </c>
      <c r="J25">
        <v>0.95</v>
      </c>
    </row>
    <row r="26" spans="1:10" ht="12.75" customHeight="1" x14ac:dyDescent="0.2">
      <c r="A26" t="s">
        <v>10</v>
      </c>
      <c r="B26">
        <v>1500</v>
      </c>
      <c r="C26">
        <v>1600</v>
      </c>
      <c r="D26">
        <f t="shared" si="0"/>
        <v>100</v>
      </c>
      <c r="E26" t="s">
        <v>77</v>
      </c>
      <c r="F26">
        <v>7</v>
      </c>
      <c r="G26" t="str">
        <f>LOOKUP(Componenten[[#This Row],[id_initieel_mechanisme]],Faalmechanismen[id],Faalmechanismen[Initieel_mechanisme])</f>
        <v>Erosie kruin en binnentalud</v>
      </c>
      <c r="H26">
        <v>1</v>
      </c>
      <c r="I26">
        <v>5.8906357102943199E-4</v>
      </c>
      <c r="J26">
        <v>0.95</v>
      </c>
    </row>
    <row r="27" spans="1:10" ht="12.75" customHeight="1" x14ac:dyDescent="0.2">
      <c r="A27" t="s">
        <v>10</v>
      </c>
      <c r="B27">
        <v>1600</v>
      </c>
      <c r="C27">
        <v>1700</v>
      </c>
      <c r="D27">
        <f t="shared" si="0"/>
        <v>100</v>
      </c>
      <c r="E27" t="s">
        <v>78</v>
      </c>
      <c r="F27">
        <v>7</v>
      </c>
      <c r="G27" t="str">
        <f>LOOKUP(Componenten[[#This Row],[id_initieel_mechanisme]],Faalmechanismen[id],Faalmechanismen[Initieel_mechanisme])</f>
        <v>Erosie kruin en binnentalud</v>
      </c>
      <c r="H27">
        <v>1</v>
      </c>
      <c r="I27">
        <v>1.06928272997281E-3</v>
      </c>
      <c r="J27">
        <v>0.95</v>
      </c>
    </row>
    <row r="28" spans="1:10" ht="12.75" customHeight="1" x14ac:dyDescent="0.2">
      <c r="A28" t="s">
        <v>10</v>
      </c>
      <c r="B28">
        <v>1700</v>
      </c>
      <c r="C28">
        <v>1800</v>
      </c>
      <c r="D28">
        <f t="shared" si="0"/>
        <v>100</v>
      </c>
      <c r="E28" t="s">
        <v>79</v>
      </c>
      <c r="F28">
        <v>7</v>
      </c>
      <c r="G28" t="str">
        <f>LOOKUP(Componenten[[#This Row],[id_initieel_mechanisme]],Faalmechanismen[id],Faalmechanismen[Initieel_mechanisme])</f>
        <v>Erosie kruin en binnentalud</v>
      </c>
      <c r="H28">
        <v>1</v>
      </c>
      <c r="I28">
        <v>1.07182900247124E-4</v>
      </c>
      <c r="J28">
        <v>0.95</v>
      </c>
    </row>
    <row r="29" spans="1:10" ht="12.75" customHeight="1" x14ac:dyDescent="0.2">
      <c r="A29" t="s">
        <v>10</v>
      </c>
      <c r="B29">
        <v>1800</v>
      </c>
      <c r="C29">
        <v>1900</v>
      </c>
      <c r="D29">
        <f t="shared" si="0"/>
        <v>100</v>
      </c>
      <c r="E29" t="s">
        <v>80</v>
      </c>
      <c r="F29">
        <v>7</v>
      </c>
      <c r="G29" t="str">
        <f>LOOKUP(Componenten[[#This Row],[id_initieel_mechanisme]],Faalmechanismen[id],Faalmechanismen[Initieel_mechanisme])</f>
        <v>Erosie kruin en binnentalud</v>
      </c>
      <c r="H29">
        <v>1</v>
      </c>
      <c r="I29">
        <v>7.1473553502248401E-5</v>
      </c>
      <c r="J29">
        <v>0.95</v>
      </c>
    </row>
    <row r="30" spans="1:10" ht="12.75" customHeight="1" x14ac:dyDescent="0.2">
      <c r="A30" t="s">
        <v>10</v>
      </c>
      <c r="B30">
        <v>1900</v>
      </c>
      <c r="C30">
        <v>2000</v>
      </c>
      <c r="D30">
        <f t="shared" si="0"/>
        <v>100</v>
      </c>
      <c r="E30" t="s">
        <v>81</v>
      </c>
      <c r="F30">
        <v>7</v>
      </c>
      <c r="G30" t="str">
        <f>LOOKUP(Componenten[[#This Row],[id_initieel_mechanisme]],Faalmechanismen[id],Faalmechanismen[Initieel_mechanisme])</f>
        <v>Erosie kruin en binnentalud</v>
      </c>
      <c r="H30">
        <v>1</v>
      </c>
      <c r="I30">
        <v>8.0393621757599595E-4</v>
      </c>
      <c r="J30">
        <v>0.95</v>
      </c>
    </row>
    <row r="31" spans="1:10" ht="12.75" customHeight="1" x14ac:dyDescent="0.2">
      <c r="A31" t="s">
        <v>10</v>
      </c>
      <c r="B31">
        <v>2000</v>
      </c>
      <c r="C31">
        <v>2100</v>
      </c>
      <c r="D31">
        <f t="shared" si="0"/>
        <v>100</v>
      </c>
      <c r="E31" t="s">
        <v>82</v>
      </c>
      <c r="F31">
        <v>7</v>
      </c>
      <c r="G31" t="str">
        <f>LOOKUP(Componenten[[#This Row],[id_initieel_mechanisme]],Faalmechanismen[id],Faalmechanismen[Initieel_mechanisme])</f>
        <v>Erosie kruin en binnentalud</v>
      </c>
      <c r="H31">
        <v>1</v>
      </c>
      <c r="I31">
        <v>1.2986685281444999E-4</v>
      </c>
      <c r="J31">
        <v>0.95</v>
      </c>
    </row>
    <row r="32" spans="1:10" ht="12.75" customHeight="1" x14ac:dyDescent="0.2">
      <c r="A32" t="s">
        <v>10</v>
      </c>
      <c r="B32">
        <v>2100</v>
      </c>
      <c r="C32">
        <v>2200</v>
      </c>
      <c r="D32">
        <f t="shared" si="0"/>
        <v>100</v>
      </c>
      <c r="E32" t="s">
        <v>83</v>
      </c>
      <c r="F32">
        <v>7</v>
      </c>
      <c r="G32" t="str">
        <f>LOOKUP(Componenten[[#This Row],[id_initieel_mechanisme]],Faalmechanismen[id],Faalmechanismen[Initieel_mechanisme])</f>
        <v>Erosie kruin en binnentalud</v>
      </c>
      <c r="H32">
        <v>1</v>
      </c>
      <c r="I32">
        <v>1.5079922252558201E-5</v>
      </c>
      <c r="J32">
        <v>0.95</v>
      </c>
    </row>
    <row r="33" spans="1:10" ht="12.75" customHeight="1" x14ac:dyDescent="0.2">
      <c r="A33" t="s">
        <v>10</v>
      </c>
      <c r="B33">
        <v>2200</v>
      </c>
      <c r="C33">
        <v>2300</v>
      </c>
      <c r="D33">
        <f t="shared" si="0"/>
        <v>100</v>
      </c>
      <c r="E33" t="s">
        <v>84</v>
      </c>
      <c r="F33">
        <v>7</v>
      </c>
      <c r="G33" t="str">
        <f>LOOKUP(Componenten[[#This Row],[id_initieel_mechanisme]],Faalmechanismen[id],Faalmechanismen[Initieel_mechanisme])</f>
        <v>Erosie kruin en binnentalud</v>
      </c>
      <c r="H33">
        <v>1</v>
      </c>
      <c r="I33">
        <v>3.9512697335529403E-4</v>
      </c>
      <c r="J33">
        <v>0.95</v>
      </c>
    </row>
    <row r="34" spans="1:10" ht="12.75" customHeight="1" x14ac:dyDescent="0.2">
      <c r="A34" t="s">
        <v>10</v>
      </c>
      <c r="B34">
        <v>2300</v>
      </c>
      <c r="C34">
        <v>2400</v>
      </c>
      <c r="D34">
        <f t="shared" ref="D34:D65" si="1">C34-B34</f>
        <v>100</v>
      </c>
      <c r="E34" t="s">
        <v>85</v>
      </c>
      <c r="F34">
        <v>7</v>
      </c>
      <c r="G34" t="str">
        <f>LOOKUP(Componenten[[#This Row],[id_initieel_mechanisme]],Faalmechanismen[id],Faalmechanismen[Initieel_mechanisme])</f>
        <v>Erosie kruin en binnentalud</v>
      </c>
      <c r="H34">
        <v>1</v>
      </c>
      <c r="I34">
        <v>5.87115011515585E-6</v>
      </c>
      <c r="J34">
        <v>0.95</v>
      </c>
    </row>
    <row r="35" spans="1:10" ht="12.75" customHeight="1" x14ac:dyDescent="0.2">
      <c r="A35" t="s">
        <v>10</v>
      </c>
      <c r="B35">
        <v>2400</v>
      </c>
      <c r="C35">
        <v>2500</v>
      </c>
      <c r="D35">
        <f t="shared" si="1"/>
        <v>100</v>
      </c>
      <c r="E35" t="s">
        <v>86</v>
      </c>
      <c r="F35">
        <v>7</v>
      </c>
      <c r="G35" t="str">
        <f>LOOKUP(Componenten[[#This Row],[id_initieel_mechanisme]],Faalmechanismen[id],Faalmechanismen[Initieel_mechanisme])</f>
        <v>Erosie kruin en binnentalud</v>
      </c>
      <c r="H35">
        <v>1</v>
      </c>
      <c r="I35">
        <v>4.0715548703239297E-5</v>
      </c>
      <c r="J35">
        <v>0.95</v>
      </c>
    </row>
    <row r="36" spans="1:10" ht="12.75" customHeight="1" x14ac:dyDescent="0.2">
      <c r="A36" t="s">
        <v>10</v>
      </c>
      <c r="B36">
        <v>2500</v>
      </c>
      <c r="C36">
        <v>2600</v>
      </c>
      <c r="D36">
        <f t="shared" si="1"/>
        <v>100</v>
      </c>
      <c r="E36" t="s">
        <v>87</v>
      </c>
      <c r="F36">
        <v>7</v>
      </c>
      <c r="G36" t="str">
        <f>LOOKUP(Componenten[[#This Row],[id_initieel_mechanisme]],Faalmechanismen[id],Faalmechanismen[Initieel_mechanisme])</f>
        <v>Erosie kruin en binnentalud</v>
      </c>
      <c r="H36">
        <v>1</v>
      </c>
      <c r="I36">
        <v>3.3372477247937199E-5</v>
      </c>
      <c r="J36">
        <v>0.95</v>
      </c>
    </row>
    <row r="37" spans="1:10" ht="12.75" customHeight="1" x14ac:dyDescent="0.2">
      <c r="A37" t="s">
        <v>10</v>
      </c>
      <c r="B37">
        <v>2600</v>
      </c>
      <c r="C37">
        <v>2700</v>
      </c>
      <c r="D37">
        <f t="shared" si="1"/>
        <v>100</v>
      </c>
      <c r="E37" t="s">
        <v>88</v>
      </c>
      <c r="F37">
        <v>7</v>
      </c>
      <c r="G37" t="str">
        <f>LOOKUP(Componenten[[#This Row],[id_initieel_mechanisme]],Faalmechanismen[id],Faalmechanismen[Initieel_mechanisme])</f>
        <v>Erosie kruin en binnentalud</v>
      </c>
      <c r="H37">
        <v>1</v>
      </c>
      <c r="I37">
        <v>3.7330313681153401E-4</v>
      </c>
      <c r="J37">
        <v>0.95</v>
      </c>
    </row>
    <row r="38" spans="1:10" ht="12.75" customHeight="1" x14ac:dyDescent="0.2">
      <c r="A38" t="s">
        <v>10</v>
      </c>
      <c r="B38">
        <v>2700</v>
      </c>
      <c r="C38">
        <v>2800</v>
      </c>
      <c r="D38">
        <f t="shared" si="1"/>
        <v>100</v>
      </c>
      <c r="E38" t="s">
        <v>89</v>
      </c>
      <c r="F38">
        <v>7</v>
      </c>
      <c r="G38" t="str">
        <f>LOOKUP(Componenten[[#This Row],[id_initieel_mechanisme]],Faalmechanismen[id],Faalmechanismen[Initieel_mechanisme])</f>
        <v>Erosie kruin en binnentalud</v>
      </c>
      <c r="H38">
        <v>1</v>
      </c>
      <c r="I38">
        <v>4.3837015450753301E-6</v>
      </c>
      <c r="J38">
        <v>0.95</v>
      </c>
    </row>
    <row r="39" spans="1:10" ht="12.75" customHeight="1" x14ac:dyDescent="0.2">
      <c r="A39" t="s">
        <v>10</v>
      </c>
      <c r="B39">
        <v>2800</v>
      </c>
      <c r="C39">
        <v>2900</v>
      </c>
      <c r="D39">
        <f t="shared" si="1"/>
        <v>100</v>
      </c>
      <c r="E39" t="s">
        <v>90</v>
      </c>
      <c r="F39">
        <v>7</v>
      </c>
      <c r="G39" t="str">
        <f>LOOKUP(Componenten[[#This Row],[id_initieel_mechanisme]],Faalmechanismen[id],Faalmechanismen[Initieel_mechanisme])</f>
        <v>Erosie kruin en binnentalud</v>
      </c>
      <c r="H39">
        <v>1</v>
      </c>
      <c r="I39">
        <v>1.63444837818672E-4</v>
      </c>
      <c r="J39">
        <v>0.95</v>
      </c>
    </row>
    <row r="40" spans="1:10" ht="12.75" customHeight="1" x14ac:dyDescent="0.2">
      <c r="A40" t="s">
        <v>10</v>
      </c>
      <c r="B40">
        <v>2900</v>
      </c>
      <c r="C40">
        <v>3000</v>
      </c>
      <c r="D40">
        <f t="shared" si="1"/>
        <v>100</v>
      </c>
      <c r="E40" t="s">
        <v>91</v>
      </c>
      <c r="F40">
        <v>7</v>
      </c>
      <c r="G40" t="str">
        <f>LOOKUP(Componenten[[#This Row],[id_initieel_mechanisme]],Faalmechanismen[id],Faalmechanismen[Initieel_mechanisme])</f>
        <v>Erosie kruin en binnentalud</v>
      </c>
      <c r="H40">
        <v>1</v>
      </c>
      <c r="I40">
        <v>2.1770382264089399E-4</v>
      </c>
      <c r="J40">
        <v>0.95</v>
      </c>
    </row>
    <row r="41" spans="1:10" ht="12.75" customHeight="1" x14ac:dyDescent="0.2">
      <c r="A41" t="s">
        <v>10</v>
      </c>
      <c r="B41">
        <v>3000</v>
      </c>
      <c r="C41">
        <v>3100</v>
      </c>
      <c r="D41">
        <f t="shared" si="1"/>
        <v>100</v>
      </c>
      <c r="E41" t="s">
        <v>92</v>
      </c>
      <c r="F41">
        <v>7</v>
      </c>
      <c r="G41" t="str">
        <f>LOOKUP(Componenten[[#This Row],[id_initieel_mechanisme]],Faalmechanismen[id],Faalmechanismen[Initieel_mechanisme])</f>
        <v>Erosie kruin en binnentalud</v>
      </c>
      <c r="H41">
        <v>1</v>
      </c>
      <c r="I41">
        <v>7.5869762342649802E-7</v>
      </c>
      <c r="J41">
        <v>0.95</v>
      </c>
    </row>
    <row r="42" spans="1:10" ht="12.75" customHeight="1" x14ac:dyDescent="0.2">
      <c r="A42" t="s">
        <v>10</v>
      </c>
      <c r="B42">
        <v>3100</v>
      </c>
      <c r="C42">
        <v>3200</v>
      </c>
      <c r="D42">
        <f t="shared" si="1"/>
        <v>100</v>
      </c>
      <c r="E42" t="s">
        <v>93</v>
      </c>
      <c r="F42">
        <v>7</v>
      </c>
      <c r="G42" t="str">
        <f>LOOKUP(Componenten[[#This Row],[id_initieel_mechanisme]],Faalmechanismen[id],Faalmechanismen[Initieel_mechanisme])</f>
        <v>Erosie kruin en binnentalud</v>
      </c>
      <c r="H42">
        <v>1</v>
      </c>
      <c r="I42">
        <v>1.9522398343242099E-6</v>
      </c>
      <c r="J42">
        <v>0.95</v>
      </c>
    </row>
    <row r="43" spans="1:10" ht="12.75" customHeight="1" x14ac:dyDescent="0.2">
      <c r="A43" t="s">
        <v>10</v>
      </c>
      <c r="B43">
        <v>3200</v>
      </c>
      <c r="C43">
        <v>3300</v>
      </c>
      <c r="D43">
        <f t="shared" si="1"/>
        <v>100</v>
      </c>
      <c r="E43" t="s">
        <v>94</v>
      </c>
      <c r="F43">
        <v>7</v>
      </c>
      <c r="G43" t="str">
        <f>LOOKUP(Componenten[[#This Row],[id_initieel_mechanisme]],Faalmechanismen[id],Faalmechanismen[Initieel_mechanisme])</f>
        <v>Erosie kruin en binnentalud</v>
      </c>
      <c r="H43">
        <v>1</v>
      </c>
      <c r="I43">
        <v>1.4781401864831601E-4</v>
      </c>
      <c r="J43">
        <v>0.95</v>
      </c>
    </row>
    <row r="44" spans="1:10" ht="12.75" customHeight="1" x14ac:dyDescent="0.2">
      <c r="A44" t="s">
        <v>10</v>
      </c>
      <c r="B44">
        <v>3300</v>
      </c>
      <c r="C44">
        <v>3400</v>
      </c>
      <c r="D44">
        <f t="shared" si="1"/>
        <v>100</v>
      </c>
      <c r="E44" t="s">
        <v>95</v>
      </c>
      <c r="F44">
        <v>7</v>
      </c>
      <c r="G44" t="str">
        <f>LOOKUP(Componenten[[#This Row],[id_initieel_mechanisme]],Faalmechanismen[id],Faalmechanismen[Initieel_mechanisme])</f>
        <v>Erosie kruin en binnentalud</v>
      </c>
      <c r="H44">
        <v>1</v>
      </c>
      <c r="I44">
        <v>7.1634952728037303E-5</v>
      </c>
      <c r="J44">
        <v>0.95</v>
      </c>
    </row>
    <row r="45" spans="1:10" ht="12.75" customHeight="1" x14ac:dyDescent="0.2">
      <c r="A45" t="s">
        <v>10</v>
      </c>
      <c r="B45">
        <v>3400</v>
      </c>
      <c r="C45">
        <v>3500</v>
      </c>
      <c r="D45">
        <f t="shared" si="1"/>
        <v>100</v>
      </c>
      <c r="E45" t="s">
        <v>96</v>
      </c>
      <c r="F45">
        <v>7</v>
      </c>
      <c r="G45" t="str">
        <f>LOOKUP(Componenten[[#This Row],[id_initieel_mechanisme]],Faalmechanismen[id],Faalmechanismen[Initieel_mechanisme])</f>
        <v>Erosie kruin en binnentalud</v>
      </c>
      <c r="H45">
        <v>1</v>
      </c>
      <c r="I45">
        <v>3.4238842553499903E-5</v>
      </c>
      <c r="J45">
        <v>0.95</v>
      </c>
    </row>
    <row r="46" spans="1:10" ht="12.75" customHeight="1" x14ac:dyDescent="0.2">
      <c r="A46" t="s">
        <v>10</v>
      </c>
      <c r="B46">
        <v>3500</v>
      </c>
      <c r="C46">
        <v>3600</v>
      </c>
      <c r="D46">
        <f t="shared" si="1"/>
        <v>100</v>
      </c>
      <c r="E46" t="s">
        <v>97</v>
      </c>
      <c r="F46">
        <v>7</v>
      </c>
      <c r="G46" t="str">
        <f>LOOKUP(Componenten[[#This Row],[id_initieel_mechanisme]],Faalmechanismen[id],Faalmechanismen[Initieel_mechanisme])</f>
        <v>Erosie kruin en binnentalud</v>
      </c>
      <c r="H46">
        <v>1</v>
      </c>
      <c r="I46">
        <v>2.6719778428393999E-5</v>
      </c>
      <c r="J46">
        <v>0.95</v>
      </c>
    </row>
    <row r="47" spans="1:10" x14ac:dyDescent="0.2">
      <c r="A47" t="s">
        <v>10</v>
      </c>
      <c r="B47">
        <v>3600</v>
      </c>
      <c r="C47">
        <v>3700</v>
      </c>
      <c r="D47">
        <f t="shared" si="1"/>
        <v>100</v>
      </c>
      <c r="E47" t="s">
        <v>98</v>
      </c>
      <c r="F47">
        <v>7</v>
      </c>
      <c r="G47" t="str">
        <f>LOOKUP(Componenten[[#This Row],[id_initieel_mechanisme]],Faalmechanismen[id],Faalmechanismen[Initieel_mechanisme])</f>
        <v>Erosie kruin en binnentalud</v>
      </c>
      <c r="H47">
        <v>1</v>
      </c>
      <c r="I47">
        <v>1.4240216880189E-4</v>
      </c>
      <c r="J47">
        <v>0.95</v>
      </c>
    </row>
    <row r="48" spans="1:10" x14ac:dyDescent="0.2">
      <c r="A48" t="s">
        <v>10</v>
      </c>
      <c r="B48">
        <v>3700</v>
      </c>
      <c r="C48">
        <v>3800</v>
      </c>
      <c r="D48">
        <f t="shared" si="1"/>
        <v>100</v>
      </c>
      <c r="E48" t="s">
        <v>99</v>
      </c>
      <c r="F48">
        <v>7</v>
      </c>
      <c r="G48" t="str">
        <f>LOOKUP(Componenten[[#This Row],[id_initieel_mechanisme]],Faalmechanismen[id],Faalmechanismen[Initieel_mechanisme])</f>
        <v>Erosie kruin en binnentalud</v>
      </c>
      <c r="H48">
        <v>1</v>
      </c>
      <c r="I48">
        <v>1.9415184009312001E-4</v>
      </c>
      <c r="J48">
        <v>0.95</v>
      </c>
    </row>
    <row r="49" spans="1:10" x14ac:dyDescent="0.2">
      <c r="A49" t="s">
        <v>10</v>
      </c>
      <c r="B49">
        <v>3800</v>
      </c>
      <c r="C49">
        <v>3900</v>
      </c>
      <c r="D49">
        <f t="shared" si="1"/>
        <v>100</v>
      </c>
      <c r="E49" t="s">
        <v>100</v>
      </c>
      <c r="F49">
        <v>7</v>
      </c>
      <c r="G49" t="str">
        <f>LOOKUP(Componenten[[#This Row],[id_initieel_mechanisme]],Faalmechanismen[id],Faalmechanismen[Initieel_mechanisme])</f>
        <v>Erosie kruin en binnentalud</v>
      </c>
      <c r="H49">
        <v>1</v>
      </c>
      <c r="I49">
        <v>1.3201270142553599E-4</v>
      </c>
      <c r="J49">
        <v>0.95</v>
      </c>
    </row>
    <row r="50" spans="1:10" x14ac:dyDescent="0.2">
      <c r="A50" t="s">
        <v>10</v>
      </c>
      <c r="B50">
        <v>3900</v>
      </c>
      <c r="C50">
        <v>4000</v>
      </c>
      <c r="D50">
        <f t="shared" si="1"/>
        <v>100</v>
      </c>
      <c r="E50" t="s">
        <v>101</v>
      </c>
      <c r="F50">
        <v>7</v>
      </c>
      <c r="G50" t="str">
        <f>LOOKUP(Componenten[[#This Row],[id_initieel_mechanisme]],Faalmechanismen[id],Faalmechanismen[Initieel_mechanisme])</f>
        <v>Erosie kruin en binnentalud</v>
      </c>
      <c r="H50">
        <v>1</v>
      </c>
      <c r="I50">
        <v>9.3896392447594797E-6</v>
      </c>
      <c r="J50">
        <v>0.95</v>
      </c>
    </row>
    <row r="51" spans="1:10" x14ac:dyDescent="0.2">
      <c r="A51" t="s">
        <v>10</v>
      </c>
      <c r="B51">
        <v>4000</v>
      </c>
      <c r="C51">
        <v>4100</v>
      </c>
      <c r="D51">
        <f t="shared" si="1"/>
        <v>100</v>
      </c>
      <c r="E51" t="s">
        <v>102</v>
      </c>
      <c r="F51">
        <v>7</v>
      </c>
      <c r="G51" t="str">
        <f>LOOKUP(Componenten[[#This Row],[id_initieel_mechanisme]],Faalmechanismen[id],Faalmechanismen[Initieel_mechanisme])</f>
        <v>Erosie kruin en binnentalud</v>
      </c>
      <c r="H51">
        <v>1</v>
      </c>
      <c r="I51">
        <v>8.53627883227984E-7</v>
      </c>
      <c r="J51">
        <v>0.95</v>
      </c>
    </row>
    <row r="52" spans="1:10" x14ac:dyDescent="0.2">
      <c r="A52" t="s">
        <v>10</v>
      </c>
      <c r="B52">
        <v>4100</v>
      </c>
      <c r="C52">
        <v>4200</v>
      </c>
      <c r="D52">
        <f t="shared" si="1"/>
        <v>100</v>
      </c>
      <c r="E52" t="s">
        <v>103</v>
      </c>
      <c r="F52">
        <v>7</v>
      </c>
      <c r="G52" t="str">
        <f>LOOKUP(Componenten[[#This Row],[id_initieel_mechanisme]],Faalmechanismen[id],Faalmechanismen[Initieel_mechanisme])</f>
        <v>Erosie kruin en binnentalud</v>
      </c>
      <c r="H52">
        <v>1</v>
      </c>
      <c r="I52">
        <v>4.0632418717773599E-4</v>
      </c>
      <c r="J52">
        <v>0.95</v>
      </c>
    </row>
    <row r="53" spans="1:10" x14ac:dyDescent="0.2">
      <c r="A53" t="s">
        <v>10</v>
      </c>
      <c r="B53">
        <v>4200</v>
      </c>
      <c r="C53">
        <v>4300</v>
      </c>
      <c r="D53">
        <f t="shared" si="1"/>
        <v>100</v>
      </c>
      <c r="E53" t="s">
        <v>104</v>
      </c>
      <c r="F53">
        <v>7</v>
      </c>
      <c r="G53" t="str">
        <f>LOOKUP(Componenten[[#This Row],[id_initieel_mechanisme]],Faalmechanismen[id],Faalmechanismen[Initieel_mechanisme])</f>
        <v>Erosie kruin en binnentalud</v>
      </c>
      <c r="H53">
        <v>1</v>
      </c>
      <c r="I53">
        <v>2.14752853068473E-5</v>
      </c>
      <c r="J53">
        <v>0.95</v>
      </c>
    </row>
    <row r="54" spans="1:10" x14ac:dyDescent="0.2">
      <c r="A54" t="s">
        <v>10</v>
      </c>
      <c r="B54">
        <v>4300</v>
      </c>
      <c r="C54">
        <v>4400</v>
      </c>
      <c r="D54">
        <f t="shared" si="1"/>
        <v>100</v>
      </c>
      <c r="E54" t="s">
        <v>105</v>
      </c>
      <c r="F54">
        <v>7</v>
      </c>
      <c r="G54" t="str">
        <f>LOOKUP(Componenten[[#This Row],[id_initieel_mechanisme]],Faalmechanismen[id],Faalmechanismen[Initieel_mechanisme])</f>
        <v>Erosie kruin en binnentalud</v>
      </c>
      <c r="H54">
        <v>1</v>
      </c>
      <c r="I54">
        <v>6.7149478857412697E-5</v>
      </c>
      <c r="J54">
        <v>0.95</v>
      </c>
    </row>
    <row r="55" spans="1:10" x14ac:dyDescent="0.2">
      <c r="A55" t="s">
        <v>10</v>
      </c>
      <c r="B55">
        <v>4400</v>
      </c>
      <c r="C55">
        <v>4500</v>
      </c>
      <c r="D55">
        <f t="shared" si="1"/>
        <v>100</v>
      </c>
      <c r="E55" t="s">
        <v>106</v>
      </c>
      <c r="F55">
        <v>7</v>
      </c>
      <c r="G55" t="str">
        <f>LOOKUP(Componenten[[#This Row],[id_initieel_mechanisme]],Faalmechanismen[id],Faalmechanismen[Initieel_mechanisme])</f>
        <v>Erosie kruin en binnentalud</v>
      </c>
      <c r="H55">
        <v>1</v>
      </c>
      <c r="I55">
        <v>8.6103636641940803E-7</v>
      </c>
      <c r="J55">
        <v>0.95</v>
      </c>
    </row>
    <row r="56" spans="1:10" x14ac:dyDescent="0.2">
      <c r="A56" t="s">
        <v>10</v>
      </c>
      <c r="B56">
        <v>4500</v>
      </c>
      <c r="C56">
        <v>4600</v>
      </c>
      <c r="D56">
        <f t="shared" si="1"/>
        <v>100</v>
      </c>
      <c r="E56" t="s">
        <v>107</v>
      </c>
      <c r="F56">
        <v>7</v>
      </c>
      <c r="G56" t="str">
        <f>LOOKUP(Componenten[[#This Row],[id_initieel_mechanisme]],Faalmechanismen[id],Faalmechanismen[Initieel_mechanisme])</f>
        <v>Erosie kruin en binnentalud</v>
      </c>
      <c r="H56">
        <v>1</v>
      </c>
      <c r="I56">
        <v>1.06696814106771E-6</v>
      </c>
      <c r="J56">
        <v>0.95</v>
      </c>
    </row>
    <row r="57" spans="1:10" x14ac:dyDescent="0.2">
      <c r="A57" t="s">
        <v>10</v>
      </c>
      <c r="B57">
        <v>4600</v>
      </c>
      <c r="C57">
        <v>4700</v>
      </c>
      <c r="D57">
        <f t="shared" si="1"/>
        <v>100</v>
      </c>
      <c r="E57" t="s">
        <v>108</v>
      </c>
      <c r="F57">
        <v>7</v>
      </c>
      <c r="G57" t="str">
        <f>LOOKUP(Componenten[[#This Row],[id_initieel_mechanisme]],Faalmechanismen[id],Faalmechanismen[Initieel_mechanisme])</f>
        <v>Erosie kruin en binnentalud</v>
      </c>
      <c r="H57">
        <v>1</v>
      </c>
      <c r="I57">
        <v>1.19776997461684E-4</v>
      </c>
      <c r="J57">
        <v>0.95</v>
      </c>
    </row>
    <row r="58" spans="1:10" x14ac:dyDescent="0.2">
      <c r="A58" t="s">
        <v>10</v>
      </c>
      <c r="B58">
        <v>4700</v>
      </c>
      <c r="C58">
        <v>4800</v>
      </c>
      <c r="D58">
        <f t="shared" si="1"/>
        <v>100</v>
      </c>
      <c r="E58" t="s">
        <v>109</v>
      </c>
      <c r="F58">
        <v>7</v>
      </c>
      <c r="G58" t="str">
        <f>LOOKUP(Componenten[[#This Row],[id_initieel_mechanisme]],Faalmechanismen[id],Faalmechanismen[Initieel_mechanisme])</f>
        <v>Erosie kruin en binnentalud</v>
      </c>
      <c r="H58">
        <v>1</v>
      </c>
      <c r="I58">
        <v>2.95443447971276E-5</v>
      </c>
      <c r="J58">
        <v>0.95</v>
      </c>
    </row>
    <row r="59" spans="1:10" x14ac:dyDescent="0.2">
      <c r="A59" t="s">
        <v>10</v>
      </c>
      <c r="B59">
        <v>4800</v>
      </c>
      <c r="C59">
        <v>4900</v>
      </c>
      <c r="D59">
        <f t="shared" si="1"/>
        <v>100</v>
      </c>
      <c r="E59" t="s">
        <v>110</v>
      </c>
      <c r="F59">
        <v>7</v>
      </c>
      <c r="G59" t="str">
        <f>LOOKUP(Componenten[[#This Row],[id_initieel_mechanisme]],Faalmechanismen[id],Faalmechanismen[Initieel_mechanisme])</f>
        <v>Erosie kruin en binnentalud</v>
      </c>
      <c r="H59">
        <v>1</v>
      </c>
      <c r="I59">
        <v>4.6180870860625198E-7</v>
      </c>
      <c r="J59">
        <v>0.95</v>
      </c>
    </row>
    <row r="60" spans="1:10" x14ac:dyDescent="0.2">
      <c r="A60" t="s">
        <v>10</v>
      </c>
      <c r="B60">
        <v>4900</v>
      </c>
      <c r="C60">
        <v>5000</v>
      </c>
      <c r="D60">
        <f t="shared" si="1"/>
        <v>100</v>
      </c>
      <c r="E60" t="s">
        <v>111</v>
      </c>
      <c r="F60">
        <v>7</v>
      </c>
      <c r="G60" t="str">
        <f>LOOKUP(Componenten[[#This Row],[id_initieel_mechanisme]],Faalmechanismen[id],Faalmechanismen[Initieel_mechanisme])</f>
        <v>Erosie kruin en binnentalud</v>
      </c>
      <c r="H60">
        <v>1</v>
      </c>
      <c r="I60">
        <v>2.8095592554840999E-4</v>
      </c>
      <c r="J60">
        <v>0.95</v>
      </c>
    </row>
    <row r="61" spans="1:10" x14ac:dyDescent="0.2">
      <c r="A61" t="s">
        <v>10</v>
      </c>
      <c r="B61">
        <v>5000</v>
      </c>
      <c r="C61">
        <v>5100</v>
      </c>
      <c r="D61">
        <f t="shared" si="1"/>
        <v>100</v>
      </c>
      <c r="E61" t="s">
        <v>112</v>
      </c>
      <c r="F61">
        <v>7</v>
      </c>
      <c r="G61" t="str">
        <f>LOOKUP(Componenten[[#This Row],[id_initieel_mechanisme]],Faalmechanismen[id],Faalmechanismen[Initieel_mechanisme])</f>
        <v>Erosie kruin en binnentalud</v>
      </c>
      <c r="H61">
        <v>1</v>
      </c>
      <c r="I61">
        <v>6.6735782462756701E-5</v>
      </c>
      <c r="J61">
        <v>0.95</v>
      </c>
    </row>
    <row r="62" spans="1:10" x14ac:dyDescent="0.2">
      <c r="A62" t="s">
        <v>10</v>
      </c>
      <c r="B62">
        <v>5100</v>
      </c>
      <c r="C62">
        <v>5200</v>
      </c>
      <c r="D62">
        <f t="shared" si="1"/>
        <v>100</v>
      </c>
      <c r="E62" t="s">
        <v>113</v>
      </c>
      <c r="F62">
        <v>7</v>
      </c>
      <c r="G62" t="str">
        <f>LOOKUP(Componenten[[#This Row],[id_initieel_mechanisme]],Faalmechanismen[id],Faalmechanismen[Initieel_mechanisme])</f>
        <v>Erosie kruin en binnentalud</v>
      </c>
      <c r="H62">
        <v>1</v>
      </c>
      <c r="I62">
        <v>2.3623753727498001E-5</v>
      </c>
      <c r="J62">
        <v>0.95</v>
      </c>
    </row>
    <row r="63" spans="1:10" x14ac:dyDescent="0.2">
      <c r="A63" t="s">
        <v>10</v>
      </c>
      <c r="B63">
        <v>5200</v>
      </c>
      <c r="C63">
        <v>5300</v>
      </c>
      <c r="D63">
        <f t="shared" si="1"/>
        <v>100</v>
      </c>
      <c r="E63" t="s">
        <v>114</v>
      </c>
      <c r="F63">
        <v>7</v>
      </c>
      <c r="G63" t="str">
        <f>LOOKUP(Componenten[[#This Row],[id_initieel_mechanisme]],Faalmechanismen[id],Faalmechanismen[Initieel_mechanisme])</f>
        <v>Erosie kruin en binnentalud</v>
      </c>
      <c r="H63">
        <v>1</v>
      </c>
      <c r="I63">
        <v>2.35830314180743E-5</v>
      </c>
      <c r="J63">
        <v>0.95</v>
      </c>
    </row>
    <row r="64" spans="1:10" x14ac:dyDescent="0.2">
      <c r="A64" t="s">
        <v>10</v>
      </c>
      <c r="B64">
        <v>5300</v>
      </c>
      <c r="C64">
        <v>5400</v>
      </c>
      <c r="D64">
        <f t="shared" si="1"/>
        <v>100</v>
      </c>
      <c r="E64" t="s">
        <v>115</v>
      </c>
      <c r="F64">
        <v>7</v>
      </c>
      <c r="G64" t="str">
        <f>LOOKUP(Componenten[[#This Row],[id_initieel_mechanisme]],Faalmechanismen[id],Faalmechanismen[Initieel_mechanisme])</f>
        <v>Erosie kruin en binnentalud</v>
      </c>
      <c r="H64">
        <v>1</v>
      </c>
      <c r="I64">
        <v>2.2456837423613801E-4</v>
      </c>
      <c r="J64">
        <v>0.95</v>
      </c>
    </row>
    <row r="65" spans="1:10" x14ac:dyDescent="0.2">
      <c r="A65" t="s">
        <v>10</v>
      </c>
      <c r="B65">
        <v>5400</v>
      </c>
      <c r="C65">
        <v>5500</v>
      </c>
      <c r="D65">
        <f t="shared" si="1"/>
        <v>100</v>
      </c>
      <c r="E65" t="s">
        <v>116</v>
      </c>
      <c r="F65">
        <v>7</v>
      </c>
      <c r="G65" t="str">
        <f>LOOKUP(Componenten[[#This Row],[id_initieel_mechanisme]],Faalmechanismen[id],Faalmechanismen[Initieel_mechanisme])</f>
        <v>Erosie kruin en binnentalud</v>
      </c>
      <c r="H65">
        <v>1</v>
      </c>
      <c r="I65">
        <v>2.7937542119456901E-6</v>
      </c>
      <c r="J65">
        <v>0.95</v>
      </c>
    </row>
    <row r="66" spans="1:10" x14ac:dyDescent="0.2">
      <c r="A66" t="s">
        <v>10</v>
      </c>
      <c r="B66">
        <v>5500</v>
      </c>
      <c r="C66">
        <v>5600</v>
      </c>
      <c r="D66">
        <f t="shared" ref="D66:D97" si="2">C66-B66</f>
        <v>100</v>
      </c>
      <c r="E66" t="s">
        <v>117</v>
      </c>
      <c r="F66">
        <v>7</v>
      </c>
      <c r="G66" t="str">
        <f>LOOKUP(Componenten[[#This Row],[id_initieel_mechanisme]],Faalmechanismen[id],Faalmechanismen[Initieel_mechanisme])</f>
        <v>Erosie kruin en binnentalud</v>
      </c>
      <c r="H66">
        <v>1</v>
      </c>
      <c r="I66">
        <v>1.8702074079776299E-6</v>
      </c>
      <c r="J66">
        <v>0.95</v>
      </c>
    </row>
    <row r="67" spans="1:10" x14ac:dyDescent="0.2">
      <c r="A67" t="s">
        <v>10</v>
      </c>
      <c r="B67">
        <v>5600</v>
      </c>
      <c r="C67">
        <v>5700</v>
      </c>
      <c r="D67">
        <f t="shared" si="2"/>
        <v>100</v>
      </c>
      <c r="E67" t="s">
        <v>118</v>
      </c>
      <c r="F67">
        <v>7</v>
      </c>
      <c r="G67" t="str">
        <f>LOOKUP(Componenten[[#This Row],[id_initieel_mechanisme]],Faalmechanismen[id],Faalmechanismen[Initieel_mechanisme])</f>
        <v>Erosie kruin en binnentalud</v>
      </c>
      <c r="H67">
        <v>1</v>
      </c>
      <c r="I67">
        <v>1.8298188466011901E-5</v>
      </c>
      <c r="J67">
        <v>0.95</v>
      </c>
    </row>
    <row r="68" spans="1:10" x14ac:dyDescent="0.2">
      <c r="A68" t="s">
        <v>10</v>
      </c>
      <c r="B68">
        <v>5700</v>
      </c>
      <c r="C68">
        <v>5800</v>
      </c>
      <c r="D68">
        <f t="shared" si="2"/>
        <v>100</v>
      </c>
      <c r="E68" t="s">
        <v>119</v>
      </c>
      <c r="F68">
        <v>7</v>
      </c>
      <c r="G68" t="str">
        <f>LOOKUP(Componenten[[#This Row],[id_initieel_mechanisme]],Faalmechanismen[id],Faalmechanismen[Initieel_mechanisme])</f>
        <v>Erosie kruin en binnentalud</v>
      </c>
      <c r="H68">
        <v>1</v>
      </c>
      <c r="I68">
        <v>1.35665748502899E-6</v>
      </c>
      <c r="J68">
        <v>0.95</v>
      </c>
    </row>
    <row r="69" spans="1:10" x14ac:dyDescent="0.2">
      <c r="A69" t="s">
        <v>10</v>
      </c>
      <c r="B69">
        <v>5800</v>
      </c>
      <c r="C69">
        <v>5900</v>
      </c>
      <c r="D69">
        <f t="shared" si="2"/>
        <v>100</v>
      </c>
      <c r="E69" t="s">
        <v>120</v>
      </c>
      <c r="F69">
        <v>7</v>
      </c>
      <c r="G69" t="str">
        <f>LOOKUP(Componenten[[#This Row],[id_initieel_mechanisme]],Faalmechanismen[id],Faalmechanismen[Initieel_mechanisme])</f>
        <v>Erosie kruin en binnentalud</v>
      </c>
      <c r="H69">
        <v>1</v>
      </c>
      <c r="I69">
        <v>6.1124201537666905E-5</v>
      </c>
      <c r="J69">
        <v>0.95</v>
      </c>
    </row>
    <row r="70" spans="1:10" x14ac:dyDescent="0.2">
      <c r="A70" t="s">
        <v>10</v>
      </c>
      <c r="B70">
        <v>5900</v>
      </c>
      <c r="C70">
        <v>6000</v>
      </c>
      <c r="D70">
        <f t="shared" si="2"/>
        <v>100</v>
      </c>
      <c r="E70" t="s">
        <v>121</v>
      </c>
      <c r="F70">
        <v>7</v>
      </c>
      <c r="G70" t="str">
        <f>LOOKUP(Componenten[[#This Row],[id_initieel_mechanisme]],Faalmechanismen[id],Faalmechanismen[Initieel_mechanisme])</f>
        <v>Erosie kruin en binnentalud</v>
      </c>
      <c r="H70">
        <v>1</v>
      </c>
      <c r="I70">
        <v>9.4425768187536302E-6</v>
      </c>
      <c r="J70">
        <v>0.95</v>
      </c>
    </row>
    <row r="71" spans="1:10" x14ac:dyDescent="0.2">
      <c r="A71" t="s">
        <v>10</v>
      </c>
      <c r="B71">
        <v>6000</v>
      </c>
      <c r="C71">
        <v>6100</v>
      </c>
      <c r="D71">
        <f t="shared" si="2"/>
        <v>100</v>
      </c>
      <c r="E71" t="s">
        <v>122</v>
      </c>
      <c r="F71">
        <v>7</v>
      </c>
      <c r="G71" t="str">
        <f>LOOKUP(Componenten[[#This Row],[id_initieel_mechanisme]],Faalmechanismen[id],Faalmechanismen[Initieel_mechanisme])</f>
        <v>Erosie kruin en binnentalud</v>
      </c>
      <c r="H71">
        <v>1</v>
      </c>
      <c r="I71">
        <v>1.1899915392661699E-4</v>
      </c>
      <c r="J71">
        <v>0.95</v>
      </c>
    </row>
    <row r="72" spans="1:10" x14ac:dyDescent="0.2">
      <c r="A72" t="s">
        <v>10</v>
      </c>
      <c r="B72">
        <v>6100</v>
      </c>
      <c r="C72">
        <v>6200</v>
      </c>
      <c r="D72">
        <f t="shared" si="2"/>
        <v>100</v>
      </c>
      <c r="E72" t="s">
        <v>123</v>
      </c>
      <c r="F72">
        <v>7</v>
      </c>
      <c r="G72" t="str">
        <f>LOOKUP(Componenten[[#This Row],[id_initieel_mechanisme]],Faalmechanismen[id],Faalmechanismen[Initieel_mechanisme])</f>
        <v>Erosie kruin en binnentalud</v>
      </c>
      <c r="H72">
        <v>1</v>
      </c>
      <c r="I72">
        <v>3.55615629137453E-3</v>
      </c>
      <c r="J72">
        <v>0.95</v>
      </c>
    </row>
    <row r="73" spans="1:10" x14ac:dyDescent="0.2">
      <c r="A73" t="s">
        <v>10</v>
      </c>
      <c r="B73">
        <v>6200</v>
      </c>
      <c r="C73">
        <v>6300</v>
      </c>
      <c r="D73">
        <f t="shared" si="2"/>
        <v>100</v>
      </c>
      <c r="E73" t="s">
        <v>124</v>
      </c>
      <c r="F73">
        <v>7</v>
      </c>
      <c r="G73" t="str">
        <f>LOOKUP(Componenten[[#This Row],[id_initieel_mechanisme]],Faalmechanismen[id],Faalmechanismen[Initieel_mechanisme])</f>
        <v>Erosie kruin en binnentalud</v>
      </c>
      <c r="H73">
        <v>1</v>
      </c>
      <c r="I73">
        <v>5.6451403038147599E-6</v>
      </c>
      <c r="J73">
        <v>0.95</v>
      </c>
    </row>
    <row r="74" spans="1:10" x14ac:dyDescent="0.2">
      <c r="A74" t="s">
        <v>10</v>
      </c>
      <c r="B74">
        <v>6300</v>
      </c>
      <c r="C74">
        <v>6400</v>
      </c>
      <c r="D74">
        <f t="shared" si="2"/>
        <v>100</v>
      </c>
      <c r="E74" t="s">
        <v>125</v>
      </c>
      <c r="F74">
        <v>7</v>
      </c>
      <c r="G74" t="str">
        <f>LOOKUP(Componenten[[#This Row],[id_initieel_mechanisme]],Faalmechanismen[id],Faalmechanismen[Initieel_mechanisme])</f>
        <v>Erosie kruin en binnentalud</v>
      </c>
      <c r="H74">
        <v>1</v>
      </c>
      <c r="I74">
        <v>4.8623647959011199E-5</v>
      </c>
      <c r="J74">
        <v>0.95</v>
      </c>
    </row>
    <row r="75" spans="1:10" x14ac:dyDescent="0.2">
      <c r="A75" t="s">
        <v>10</v>
      </c>
      <c r="B75">
        <v>6400</v>
      </c>
      <c r="C75">
        <v>6500</v>
      </c>
      <c r="D75">
        <f t="shared" si="2"/>
        <v>100</v>
      </c>
      <c r="E75" t="s">
        <v>126</v>
      </c>
      <c r="F75">
        <v>7</v>
      </c>
      <c r="G75" t="str">
        <f>LOOKUP(Componenten[[#This Row],[id_initieel_mechanisme]],Faalmechanismen[id],Faalmechanismen[Initieel_mechanisme])</f>
        <v>Erosie kruin en binnentalud</v>
      </c>
      <c r="H75">
        <v>1</v>
      </c>
      <c r="I75">
        <v>3.03404141830403E-6</v>
      </c>
      <c r="J75">
        <v>0.95</v>
      </c>
    </row>
    <row r="76" spans="1:10" x14ac:dyDescent="0.2">
      <c r="A76" t="s">
        <v>10</v>
      </c>
      <c r="B76">
        <v>6500</v>
      </c>
      <c r="C76">
        <v>6600</v>
      </c>
      <c r="D76">
        <f t="shared" si="2"/>
        <v>100</v>
      </c>
      <c r="E76" t="s">
        <v>127</v>
      </c>
      <c r="F76">
        <v>7</v>
      </c>
      <c r="G76" t="str">
        <f>LOOKUP(Componenten[[#This Row],[id_initieel_mechanisme]],Faalmechanismen[id],Faalmechanismen[Initieel_mechanisme])</f>
        <v>Erosie kruin en binnentalud</v>
      </c>
      <c r="H76">
        <v>1</v>
      </c>
      <c r="I76">
        <v>8.0443331300486098E-4</v>
      </c>
      <c r="J76">
        <v>0.95</v>
      </c>
    </row>
    <row r="77" spans="1:10" x14ac:dyDescent="0.2">
      <c r="A77" t="s">
        <v>10</v>
      </c>
      <c r="B77">
        <v>6600</v>
      </c>
      <c r="C77">
        <v>6700</v>
      </c>
      <c r="D77">
        <f t="shared" si="2"/>
        <v>100</v>
      </c>
      <c r="E77" t="s">
        <v>128</v>
      </c>
      <c r="F77">
        <v>7</v>
      </c>
      <c r="G77" t="str">
        <f>LOOKUP(Componenten[[#This Row],[id_initieel_mechanisme]],Faalmechanismen[id],Faalmechanismen[Initieel_mechanisme])</f>
        <v>Erosie kruin en binnentalud</v>
      </c>
      <c r="H77">
        <v>1</v>
      </c>
      <c r="I77">
        <v>4.3899212074252203E-5</v>
      </c>
      <c r="J77">
        <v>0.95</v>
      </c>
    </row>
    <row r="78" spans="1:10" x14ac:dyDescent="0.2">
      <c r="A78" t="s">
        <v>10</v>
      </c>
      <c r="B78">
        <v>6700</v>
      </c>
      <c r="C78">
        <v>6800</v>
      </c>
      <c r="D78">
        <f t="shared" si="2"/>
        <v>100</v>
      </c>
      <c r="E78" t="s">
        <v>129</v>
      </c>
      <c r="F78">
        <v>7</v>
      </c>
      <c r="G78" t="str">
        <f>LOOKUP(Componenten[[#This Row],[id_initieel_mechanisme]],Faalmechanismen[id],Faalmechanismen[Initieel_mechanisme])</f>
        <v>Erosie kruin en binnentalud</v>
      </c>
      <c r="H78">
        <v>1</v>
      </c>
      <c r="I78">
        <v>1.8193847651596699E-6</v>
      </c>
      <c r="J78">
        <v>0.95</v>
      </c>
    </row>
    <row r="79" spans="1:10" x14ac:dyDescent="0.2">
      <c r="A79" t="s">
        <v>10</v>
      </c>
      <c r="B79">
        <v>6800</v>
      </c>
      <c r="C79">
        <v>6900</v>
      </c>
      <c r="D79">
        <f t="shared" si="2"/>
        <v>100</v>
      </c>
      <c r="E79" t="s">
        <v>130</v>
      </c>
      <c r="F79">
        <v>7</v>
      </c>
      <c r="G79" t="str">
        <f>LOOKUP(Componenten[[#This Row],[id_initieel_mechanisme]],Faalmechanismen[id],Faalmechanismen[Initieel_mechanisme])</f>
        <v>Erosie kruin en binnentalud</v>
      </c>
      <c r="H79">
        <v>1</v>
      </c>
      <c r="I79">
        <v>6.4031256428994504E-4</v>
      </c>
      <c r="J79">
        <v>0.95</v>
      </c>
    </row>
    <row r="80" spans="1:10" x14ac:dyDescent="0.2">
      <c r="A80" t="s">
        <v>10</v>
      </c>
      <c r="B80">
        <v>6900</v>
      </c>
      <c r="C80">
        <v>7000</v>
      </c>
      <c r="D80">
        <f t="shared" si="2"/>
        <v>100</v>
      </c>
      <c r="E80" t="s">
        <v>131</v>
      </c>
      <c r="F80">
        <v>7</v>
      </c>
      <c r="G80" t="str">
        <f>LOOKUP(Componenten[[#This Row],[id_initieel_mechanisme]],Faalmechanismen[id],Faalmechanismen[Initieel_mechanisme])</f>
        <v>Erosie kruin en binnentalud</v>
      </c>
      <c r="H80">
        <v>1</v>
      </c>
      <c r="I80">
        <v>4.9852683203715101E-5</v>
      </c>
      <c r="J80">
        <v>0.95</v>
      </c>
    </row>
    <row r="81" spans="1:10" x14ac:dyDescent="0.2">
      <c r="A81" t="s">
        <v>10</v>
      </c>
      <c r="B81">
        <v>7000</v>
      </c>
      <c r="C81">
        <v>7100</v>
      </c>
      <c r="D81">
        <f t="shared" si="2"/>
        <v>100</v>
      </c>
      <c r="E81" t="s">
        <v>132</v>
      </c>
      <c r="F81">
        <v>7</v>
      </c>
      <c r="G81" t="str">
        <f>LOOKUP(Componenten[[#This Row],[id_initieel_mechanisme]],Faalmechanismen[id],Faalmechanismen[Initieel_mechanisme])</f>
        <v>Erosie kruin en binnentalud</v>
      </c>
      <c r="H81">
        <v>1</v>
      </c>
      <c r="I81">
        <v>4.36279973530675E-6</v>
      </c>
      <c r="J81">
        <v>0.95</v>
      </c>
    </row>
    <row r="82" spans="1:10" x14ac:dyDescent="0.2">
      <c r="A82" t="s">
        <v>10</v>
      </c>
      <c r="B82">
        <v>7100</v>
      </c>
      <c r="C82">
        <v>7200</v>
      </c>
      <c r="D82">
        <f t="shared" si="2"/>
        <v>100</v>
      </c>
      <c r="E82" t="s">
        <v>133</v>
      </c>
      <c r="F82">
        <v>7</v>
      </c>
      <c r="G82" t="str">
        <f>LOOKUP(Componenten[[#This Row],[id_initieel_mechanisme]],Faalmechanismen[id],Faalmechanismen[Initieel_mechanisme])</f>
        <v>Erosie kruin en binnentalud</v>
      </c>
      <c r="H82">
        <v>1</v>
      </c>
      <c r="I82">
        <v>1.08065982088072E-4</v>
      </c>
      <c r="J82">
        <v>0.95</v>
      </c>
    </row>
    <row r="83" spans="1:10" x14ac:dyDescent="0.2">
      <c r="A83" t="s">
        <v>10</v>
      </c>
      <c r="B83">
        <v>7200</v>
      </c>
      <c r="C83">
        <v>7300</v>
      </c>
      <c r="D83">
        <f t="shared" si="2"/>
        <v>100</v>
      </c>
      <c r="E83" t="s">
        <v>134</v>
      </c>
      <c r="F83">
        <v>7</v>
      </c>
      <c r="G83" t="str">
        <f>LOOKUP(Componenten[[#This Row],[id_initieel_mechanisme]],Faalmechanismen[id],Faalmechanismen[Initieel_mechanisme])</f>
        <v>Erosie kruin en binnentalud</v>
      </c>
      <c r="H83">
        <v>1</v>
      </c>
      <c r="I83">
        <v>5.3561291388720101E-6</v>
      </c>
      <c r="J83">
        <v>0.95</v>
      </c>
    </row>
    <row r="84" spans="1:10" x14ac:dyDescent="0.2">
      <c r="A84" t="s">
        <v>10</v>
      </c>
      <c r="B84">
        <v>7300</v>
      </c>
      <c r="C84">
        <v>7400</v>
      </c>
      <c r="D84">
        <f t="shared" si="2"/>
        <v>100</v>
      </c>
      <c r="E84" t="s">
        <v>135</v>
      </c>
      <c r="F84">
        <v>7</v>
      </c>
      <c r="G84" t="str">
        <f>LOOKUP(Componenten[[#This Row],[id_initieel_mechanisme]],Faalmechanismen[id],Faalmechanismen[Initieel_mechanisme])</f>
        <v>Erosie kruin en binnentalud</v>
      </c>
      <c r="H84">
        <v>1</v>
      </c>
      <c r="I84">
        <v>2.8159416818440702E-4</v>
      </c>
      <c r="J84">
        <v>0.95</v>
      </c>
    </row>
    <row r="85" spans="1:10" x14ac:dyDescent="0.2">
      <c r="A85" t="s">
        <v>10</v>
      </c>
      <c r="B85">
        <v>7400</v>
      </c>
      <c r="C85">
        <v>7500</v>
      </c>
      <c r="D85">
        <f t="shared" si="2"/>
        <v>100</v>
      </c>
      <c r="E85" t="s">
        <v>136</v>
      </c>
      <c r="F85">
        <v>7</v>
      </c>
      <c r="G85" t="str">
        <f>LOOKUP(Componenten[[#This Row],[id_initieel_mechanisme]],Faalmechanismen[id],Faalmechanismen[Initieel_mechanisme])</f>
        <v>Erosie kruin en binnentalud</v>
      </c>
      <c r="H85">
        <v>1</v>
      </c>
      <c r="I85">
        <v>9.8639088134500297E-6</v>
      </c>
      <c r="J85">
        <v>0.95</v>
      </c>
    </row>
    <row r="86" spans="1:10" x14ac:dyDescent="0.2">
      <c r="A86" t="s">
        <v>10</v>
      </c>
      <c r="B86">
        <v>7500</v>
      </c>
      <c r="C86">
        <v>7600</v>
      </c>
      <c r="D86">
        <f t="shared" si="2"/>
        <v>100</v>
      </c>
      <c r="E86" t="s">
        <v>137</v>
      </c>
      <c r="F86">
        <v>7</v>
      </c>
      <c r="G86" t="str">
        <f>LOOKUP(Componenten[[#This Row],[id_initieel_mechanisme]],Faalmechanismen[id],Faalmechanismen[Initieel_mechanisme])</f>
        <v>Erosie kruin en binnentalud</v>
      </c>
      <c r="H86">
        <v>1</v>
      </c>
      <c r="I86">
        <v>9.1019512946226297E-5</v>
      </c>
      <c r="J86">
        <v>0.95</v>
      </c>
    </row>
    <row r="87" spans="1:10" x14ac:dyDescent="0.2">
      <c r="A87" t="s">
        <v>10</v>
      </c>
      <c r="B87">
        <v>7600</v>
      </c>
      <c r="C87">
        <v>7700</v>
      </c>
      <c r="D87">
        <f t="shared" si="2"/>
        <v>100</v>
      </c>
      <c r="E87" t="s">
        <v>138</v>
      </c>
      <c r="F87">
        <v>7</v>
      </c>
      <c r="G87" t="str">
        <f>LOOKUP(Componenten[[#This Row],[id_initieel_mechanisme]],Faalmechanismen[id],Faalmechanismen[Initieel_mechanisme])</f>
        <v>Erosie kruin en binnentalud</v>
      </c>
      <c r="H87">
        <v>1</v>
      </c>
      <c r="I87">
        <v>2.77460746709182E-5</v>
      </c>
      <c r="J87">
        <v>0.95</v>
      </c>
    </row>
    <row r="88" spans="1:10" x14ac:dyDescent="0.2">
      <c r="A88" t="s">
        <v>10</v>
      </c>
      <c r="B88">
        <v>7700</v>
      </c>
      <c r="C88">
        <v>7800</v>
      </c>
      <c r="D88">
        <f t="shared" si="2"/>
        <v>100</v>
      </c>
      <c r="E88" t="s">
        <v>139</v>
      </c>
      <c r="F88">
        <v>7</v>
      </c>
      <c r="G88" t="str">
        <f>LOOKUP(Componenten[[#This Row],[id_initieel_mechanisme]],Faalmechanismen[id],Faalmechanismen[Initieel_mechanisme])</f>
        <v>Erosie kruin en binnentalud</v>
      </c>
      <c r="H88">
        <v>1</v>
      </c>
      <c r="I88">
        <v>4.0684766318542502E-6</v>
      </c>
      <c r="J88">
        <v>0.95</v>
      </c>
    </row>
    <row r="89" spans="1:10" x14ac:dyDescent="0.2">
      <c r="A89" t="s">
        <v>10</v>
      </c>
      <c r="B89">
        <v>7800</v>
      </c>
      <c r="C89">
        <v>7900</v>
      </c>
      <c r="D89">
        <f t="shared" si="2"/>
        <v>100</v>
      </c>
      <c r="E89" t="s">
        <v>140</v>
      </c>
      <c r="F89">
        <v>7</v>
      </c>
      <c r="G89" t="str">
        <f>LOOKUP(Componenten[[#This Row],[id_initieel_mechanisme]],Faalmechanismen[id],Faalmechanismen[Initieel_mechanisme])</f>
        <v>Erosie kruin en binnentalud</v>
      </c>
      <c r="H89">
        <v>1</v>
      </c>
      <c r="I89">
        <v>2.3924616333625602E-6</v>
      </c>
      <c r="J89">
        <v>0.95</v>
      </c>
    </row>
    <row r="90" spans="1:10" x14ac:dyDescent="0.2">
      <c r="A90" t="s">
        <v>10</v>
      </c>
      <c r="B90">
        <v>7900</v>
      </c>
      <c r="C90">
        <v>8000</v>
      </c>
      <c r="D90">
        <f t="shared" si="2"/>
        <v>100</v>
      </c>
      <c r="E90" t="s">
        <v>141</v>
      </c>
      <c r="F90">
        <v>7</v>
      </c>
      <c r="G90" t="str">
        <f>LOOKUP(Componenten[[#This Row],[id_initieel_mechanisme]],Faalmechanismen[id],Faalmechanismen[Initieel_mechanisme])</f>
        <v>Erosie kruin en binnentalud</v>
      </c>
      <c r="H90">
        <v>1</v>
      </c>
      <c r="I90">
        <v>1.5611939493199901E-5</v>
      </c>
      <c r="J90">
        <v>0.95</v>
      </c>
    </row>
    <row r="91" spans="1:10" x14ac:dyDescent="0.2">
      <c r="A91" t="s">
        <v>10</v>
      </c>
      <c r="B91">
        <v>8000</v>
      </c>
      <c r="C91">
        <v>8100</v>
      </c>
      <c r="D91">
        <f t="shared" si="2"/>
        <v>100</v>
      </c>
      <c r="E91" t="s">
        <v>142</v>
      </c>
      <c r="F91">
        <v>7</v>
      </c>
      <c r="G91" t="str">
        <f>LOOKUP(Componenten[[#This Row],[id_initieel_mechanisme]],Faalmechanismen[id],Faalmechanismen[Initieel_mechanisme])</f>
        <v>Erosie kruin en binnentalud</v>
      </c>
      <c r="H91">
        <v>1</v>
      </c>
      <c r="I91">
        <v>9.5979686000833792E-7</v>
      </c>
      <c r="J91">
        <v>0.95</v>
      </c>
    </row>
    <row r="92" spans="1:10" x14ac:dyDescent="0.2">
      <c r="A92" t="s">
        <v>10</v>
      </c>
      <c r="B92">
        <v>8100</v>
      </c>
      <c r="C92">
        <v>8200</v>
      </c>
      <c r="D92">
        <f t="shared" si="2"/>
        <v>100</v>
      </c>
      <c r="E92" t="s">
        <v>143</v>
      </c>
      <c r="F92">
        <v>7</v>
      </c>
      <c r="G92" t="str">
        <f>LOOKUP(Componenten[[#This Row],[id_initieel_mechanisme]],Faalmechanismen[id],Faalmechanismen[Initieel_mechanisme])</f>
        <v>Erosie kruin en binnentalud</v>
      </c>
      <c r="H92">
        <v>1</v>
      </c>
      <c r="I92">
        <v>2.8267935828384902E-4</v>
      </c>
      <c r="J92">
        <v>0.95</v>
      </c>
    </row>
    <row r="93" spans="1:10" x14ac:dyDescent="0.2">
      <c r="A93" t="s">
        <v>10</v>
      </c>
      <c r="B93">
        <v>8200</v>
      </c>
      <c r="C93">
        <v>8300</v>
      </c>
      <c r="D93">
        <f t="shared" si="2"/>
        <v>100</v>
      </c>
      <c r="E93" t="s">
        <v>144</v>
      </c>
      <c r="F93">
        <v>7</v>
      </c>
      <c r="G93" t="str">
        <f>LOOKUP(Componenten[[#This Row],[id_initieel_mechanisme]],Faalmechanismen[id],Faalmechanismen[Initieel_mechanisme])</f>
        <v>Erosie kruin en binnentalud</v>
      </c>
      <c r="H93">
        <v>1</v>
      </c>
      <c r="I93">
        <v>3.3296792966514501E-5</v>
      </c>
      <c r="J93">
        <v>0.95</v>
      </c>
    </row>
    <row r="94" spans="1:10" x14ac:dyDescent="0.2">
      <c r="A94" t="s">
        <v>10</v>
      </c>
      <c r="B94">
        <v>8300</v>
      </c>
      <c r="C94">
        <v>8400</v>
      </c>
      <c r="D94">
        <f t="shared" si="2"/>
        <v>100</v>
      </c>
      <c r="E94" t="s">
        <v>145</v>
      </c>
      <c r="F94">
        <v>7</v>
      </c>
      <c r="G94" t="str">
        <f>LOOKUP(Componenten[[#This Row],[id_initieel_mechanisme]],Faalmechanismen[id],Faalmechanismen[Initieel_mechanisme])</f>
        <v>Erosie kruin en binnentalud</v>
      </c>
      <c r="H94">
        <v>1</v>
      </c>
      <c r="I94">
        <v>1.53665232048283E-6</v>
      </c>
      <c r="J94">
        <v>0.95</v>
      </c>
    </row>
    <row r="95" spans="1:10" x14ac:dyDescent="0.2">
      <c r="A95" t="s">
        <v>10</v>
      </c>
      <c r="B95">
        <v>8400</v>
      </c>
      <c r="C95">
        <v>8500</v>
      </c>
      <c r="D95">
        <f t="shared" si="2"/>
        <v>100</v>
      </c>
      <c r="E95" t="s">
        <v>146</v>
      </c>
      <c r="F95">
        <v>7</v>
      </c>
      <c r="G95" t="str">
        <f>LOOKUP(Componenten[[#This Row],[id_initieel_mechanisme]],Faalmechanismen[id],Faalmechanismen[Initieel_mechanisme])</f>
        <v>Erosie kruin en binnentalud</v>
      </c>
      <c r="H95">
        <v>1</v>
      </c>
      <c r="I95">
        <v>1.2379809600597099E-4</v>
      </c>
      <c r="J95">
        <v>0.95</v>
      </c>
    </row>
    <row r="96" spans="1:10" x14ac:dyDescent="0.2">
      <c r="A96" t="s">
        <v>10</v>
      </c>
      <c r="B96">
        <v>8500</v>
      </c>
      <c r="C96">
        <v>8600</v>
      </c>
      <c r="D96">
        <f t="shared" si="2"/>
        <v>100</v>
      </c>
      <c r="E96" t="s">
        <v>147</v>
      </c>
      <c r="F96">
        <v>7</v>
      </c>
      <c r="G96" t="str">
        <f>LOOKUP(Componenten[[#This Row],[id_initieel_mechanisme]],Faalmechanismen[id],Faalmechanismen[Initieel_mechanisme])</f>
        <v>Erosie kruin en binnentalud</v>
      </c>
      <c r="H96">
        <v>1</v>
      </c>
      <c r="I96">
        <v>4.4761368784727498E-6</v>
      </c>
      <c r="J96">
        <v>0.95</v>
      </c>
    </row>
    <row r="97" spans="1:10" x14ac:dyDescent="0.2">
      <c r="A97" t="s">
        <v>10</v>
      </c>
      <c r="B97">
        <v>8600</v>
      </c>
      <c r="C97">
        <v>8700</v>
      </c>
      <c r="D97">
        <f t="shared" si="2"/>
        <v>100</v>
      </c>
      <c r="E97" t="s">
        <v>148</v>
      </c>
      <c r="F97">
        <v>7</v>
      </c>
      <c r="G97" t="str">
        <f>LOOKUP(Componenten[[#This Row],[id_initieel_mechanisme]],Faalmechanismen[id],Faalmechanismen[Initieel_mechanisme])</f>
        <v>Erosie kruin en binnentalud</v>
      </c>
      <c r="H97">
        <v>1</v>
      </c>
      <c r="I97">
        <v>6.7891250104861996E-4</v>
      </c>
      <c r="J97">
        <v>0.95</v>
      </c>
    </row>
    <row r="98" spans="1:10" x14ac:dyDescent="0.2">
      <c r="A98" t="s">
        <v>10</v>
      </c>
      <c r="B98">
        <v>8700</v>
      </c>
      <c r="C98">
        <v>8800</v>
      </c>
      <c r="D98">
        <f t="shared" ref="D98:D110" si="3">C98-B98</f>
        <v>100</v>
      </c>
      <c r="E98" t="s">
        <v>149</v>
      </c>
      <c r="F98">
        <v>7</v>
      </c>
      <c r="G98" t="str">
        <f>LOOKUP(Componenten[[#This Row],[id_initieel_mechanisme]],Faalmechanismen[id],Faalmechanismen[Initieel_mechanisme])</f>
        <v>Erosie kruin en binnentalud</v>
      </c>
      <c r="H98">
        <v>1</v>
      </c>
      <c r="I98">
        <v>4.1086665528408899E-5</v>
      </c>
      <c r="J98">
        <v>0.95</v>
      </c>
    </row>
    <row r="99" spans="1:10" x14ac:dyDescent="0.2">
      <c r="A99" t="s">
        <v>10</v>
      </c>
      <c r="B99">
        <v>8800</v>
      </c>
      <c r="C99">
        <v>8900</v>
      </c>
      <c r="D99">
        <f t="shared" si="3"/>
        <v>100</v>
      </c>
      <c r="E99" t="s">
        <v>150</v>
      </c>
      <c r="F99">
        <v>7</v>
      </c>
      <c r="G99" t="str">
        <f>LOOKUP(Componenten[[#This Row],[id_initieel_mechanisme]],Faalmechanismen[id],Faalmechanismen[Initieel_mechanisme])</f>
        <v>Erosie kruin en binnentalud</v>
      </c>
      <c r="H99">
        <v>1</v>
      </c>
      <c r="I99">
        <v>5.1208636688124601E-5</v>
      </c>
      <c r="J99">
        <v>0.95</v>
      </c>
    </row>
    <row r="100" spans="1:10" x14ac:dyDescent="0.2">
      <c r="A100" t="s">
        <v>10</v>
      </c>
      <c r="B100">
        <v>8900</v>
      </c>
      <c r="C100">
        <v>9000</v>
      </c>
      <c r="D100">
        <f t="shared" si="3"/>
        <v>100</v>
      </c>
      <c r="E100" t="s">
        <v>151</v>
      </c>
      <c r="F100">
        <v>7</v>
      </c>
      <c r="G100" t="str">
        <f>LOOKUP(Componenten[[#This Row],[id_initieel_mechanisme]],Faalmechanismen[id],Faalmechanismen[Initieel_mechanisme])</f>
        <v>Erosie kruin en binnentalud</v>
      </c>
      <c r="H100">
        <v>1</v>
      </c>
      <c r="I100">
        <v>5.2943857820769597E-6</v>
      </c>
      <c r="J100">
        <v>0.95</v>
      </c>
    </row>
    <row r="101" spans="1:10" x14ac:dyDescent="0.2">
      <c r="A101" t="s">
        <v>10</v>
      </c>
      <c r="B101">
        <v>9000</v>
      </c>
      <c r="C101">
        <v>9100</v>
      </c>
      <c r="D101">
        <f t="shared" si="3"/>
        <v>100</v>
      </c>
      <c r="E101" t="s">
        <v>152</v>
      </c>
      <c r="F101">
        <v>7</v>
      </c>
      <c r="G101" t="str">
        <f>LOOKUP(Componenten[[#This Row],[id_initieel_mechanisme]],Faalmechanismen[id],Faalmechanismen[Initieel_mechanisme])</f>
        <v>Erosie kruin en binnentalud</v>
      </c>
      <c r="H101">
        <v>1</v>
      </c>
      <c r="I101">
        <v>1.90011817928771E-3</v>
      </c>
      <c r="J101">
        <v>0.95</v>
      </c>
    </row>
    <row r="102" spans="1:10" x14ac:dyDescent="0.2">
      <c r="A102" t="s">
        <v>10</v>
      </c>
      <c r="B102">
        <v>9100</v>
      </c>
      <c r="C102">
        <v>9200</v>
      </c>
      <c r="D102">
        <f t="shared" si="3"/>
        <v>100</v>
      </c>
      <c r="E102" t="s">
        <v>153</v>
      </c>
      <c r="F102">
        <v>7</v>
      </c>
      <c r="G102" t="str">
        <f>LOOKUP(Componenten[[#This Row],[id_initieel_mechanisme]],Faalmechanismen[id],Faalmechanismen[Initieel_mechanisme])</f>
        <v>Erosie kruin en binnentalud</v>
      </c>
      <c r="H102">
        <v>1</v>
      </c>
      <c r="I102">
        <v>4.7497009939910399E-7</v>
      </c>
      <c r="J102">
        <v>0.95</v>
      </c>
    </row>
    <row r="103" spans="1:10" x14ac:dyDescent="0.2">
      <c r="A103" t="s">
        <v>10</v>
      </c>
      <c r="B103">
        <v>9200</v>
      </c>
      <c r="C103">
        <v>9300</v>
      </c>
      <c r="D103">
        <f t="shared" si="3"/>
        <v>100</v>
      </c>
      <c r="E103" t="s">
        <v>154</v>
      </c>
      <c r="F103">
        <v>7</v>
      </c>
      <c r="G103" t="str">
        <f>LOOKUP(Componenten[[#This Row],[id_initieel_mechanisme]],Faalmechanismen[id],Faalmechanismen[Initieel_mechanisme])</f>
        <v>Erosie kruin en binnentalud</v>
      </c>
      <c r="H103">
        <v>1</v>
      </c>
      <c r="I103">
        <v>1.3970389961895201E-4</v>
      </c>
      <c r="J103">
        <v>0.95</v>
      </c>
    </row>
    <row r="104" spans="1:10" x14ac:dyDescent="0.2">
      <c r="A104" t="s">
        <v>10</v>
      </c>
      <c r="B104">
        <v>9300</v>
      </c>
      <c r="C104">
        <v>9400</v>
      </c>
      <c r="D104">
        <f t="shared" si="3"/>
        <v>100</v>
      </c>
      <c r="E104" t="s">
        <v>155</v>
      </c>
      <c r="F104">
        <v>7</v>
      </c>
      <c r="G104" t="str">
        <f>LOOKUP(Componenten[[#This Row],[id_initieel_mechanisme]],Faalmechanismen[id],Faalmechanismen[Initieel_mechanisme])</f>
        <v>Erosie kruin en binnentalud</v>
      </c>
      <c r="H104">
        <v>1</v>
      </c>
      <c r="I104">
        <v>6.5271538873290803E-5</v>
      </c>
      <c r="J104">
        <v>0.95</v>
      </c>
    </row>
    <row r="105" spans="1:10" x14ac:dyDescent="0.2">
      <c r="A105" t="s">
        <v>10</v>
      </c>
      <c r="B105">
        <v>9400</v>
      </c>
      <c r="C105">
        <v>9500</v>
      </c>
      <c r="D105">
        <f t="shared" si="3"/>
        <v>100</v>
      </c>
      <c r="E105" t="s">
        <v>156</v>
      </c>
      <c r="F105">
        <v>7</v>
      </c>
      <c r="G105" t="str">
        <f>LOOKUP(Componenten[[#This Row],[id_initieel_mechanisme]],Faalmechanismen[id],Faalmechanismen[Initieel_mechanisme])</f>
        <v>Erosie kruin en binnentalud</v>
      </c>
      <c r="H105">
        <v>1</v>
      </c>
      <c r="I105">
        <v>1.8989479789654601E-5</v>
      </c>
      <c r="J105">
        <v>0.95</v>
      </c>
    </row>
    <row r="106" spans="1:10" x14ac:dyDescent="0.2">
      <c r="A106" t="s">
        <v>10</v>
      </c>
      <c r="B106">
        <v>9500</v>
      </c>
      <c r="C106">
        <v>9600</v>
      </c>
      <c r="D106">
        <f t="shared" si="3"/>
        <v>100</v>
      </c>
      <c r="E106" t="s">
        <v>157</v>
      </c>
      <c r="F106">
        <v>7</v>
      </c>
      <c r="G106" t="str">
        <f>LOOKUP(Componenten[[#This Row],[id_initieel_mechanisme]],Faalmechanismen[id],Faalmechanismen[Initieel_mechanisme])</f>
        <v>Erosie kruin en binnentalud</v>
      </c>
      <c r="H106">
        <v>1</v>
      </c>
      <c r="I106">
        <v>5.5827323262241898E-5</v>
      </c>
      <c r="J106">
        <v>0.95</v>
      </c>
    </row>
    <row r="107" spans="1:10" x14ac:dyDescent="0.2">
      <c r="A107" t="s">
        <v>10</v>
      </c>
      <c r="B107">
        <v>9600</v>
      </c>
      <c r="C107">
        <v>9700</v>
      </c>
      <c r="D107">
        <f t="shared" si="3"/>
        <v>100</v>
      </c>
      <c r="E107" t="s">
        <v>158</v>
      </c>
      <c r="F107">
        <v>7</v>
      </c>
      <c r="G107" t="str">
        <f>LOOKUP(Componenten[[#This Row],[id_initieel_mechanisme]],Faalmechanismen[id],Faalmechanismen[Initieel_mechanisme])</f>
        <v>Erosie kruin en binnentalud</v>
      </c>
      <c r="H107">
        <v>1</v>
      </c>
      <c r="I107">
        <v>2.8488642972970099E-6</v>
      </c>
      <c r="J107">
        <v>0.95</v>
      </c>
    </row>
    <row r="108" spans="1:10" x14ac:dyDescent="0.2">
      <c r="A108" t="s">
        <v>10</v>
      </c>
      <c r="B108">
        <v>9700</v>
      </c>
      <c r="C108">
        <v>9800</v>
      </c>
      <c r="D108">
        <f t="shared" si="3"/>
        <v>100</v>
      </c>
      <c r="E108" t="s">
        <v>159</v>
      </c>
      <c r="F108">
        <v>7</v>
      </c>
      <c r="G108" t="str">
        <f>LOOKUP(Componenten[[#This Row],[id_initieel_mechanisme]],Faalmechanismen[id],Faalmechanismen[Initieel_mechanisme])</f>
        <v>Erosie kruin en binnentalud</v>
      </c>
      <c r="H108">
        <v>1</v>
      </c>
      <c r="I108">
        <v>2.07584967548791E-5</v>
      </c>
      <c r="J108">
        <v>0.95</v>
      </c>
    </row>
    <row r="109" spans="1:10" x14ac:dyDescent="0.2">
      <c r="A109" t="s">
        <v>10</v>
      </c>
      <c r="B109">
        <v>9800</v>
      </c>
      <c r="C109">
        <v>9900</v>
      </c>
      <c r="D109">
        <f t="shared" si="3"/>
        <v>100</v>
      </c>
      <c r="E109" t="s">
        <v>160</v>
      </c>
      <c r="F109">
        <v>7</v>
      </c>
      <c r="G109" t="str">
        <f>LOOKUP(Componenten[[#This Row],[id_initieel_mechanisme]],Faalmechanismen[id],Faalmechanismen[Initieel_mechanisme])</f>
        <v>Erosie kruin en binnentalud</v>
      </c>
      <c r="H109">
        <v>1</v>
      </c>
      <c r="I109">
        <v>3.6951898446074102E-5</v>
      </c>
      <c r="J109">
        <v>0.95</v>
      </c>
    </row>
    <row r="110" spans="1:10" x14ac:dyDescent="0.2">
      <c r="A110" t="s">
        <v>10</v>
      </c>
      <c r="B110">
        <v>9900</v>
      </c>
      <c r="C110">
        <v>10000</v>
      </c>
      <c r="D110">
        <f t="shared" si="3"/>
        <v>100</v>
      </c>
      <c r="E110" t="s">
        <v>161</v>
      </c>
      <c r="F110">
        <v>7</v>
      </c>
      <c r="G110" t="str">
        <f>LOOKUP(Componenten[[#This Row],[id_initieel_mechanisme]],Faalmechanismen[id],Faalmechanismen[Initieel_mechanisme])</f>
        <v>Erosie kruin en binnentalud</v>
      </c>
      <c r="H110">
        <v>1</v>
      </c>
      <c r="I110">
        <v>2.2087186409090099E-6</v>
      </c>
      <c r="J110">
        <v>0.95</v>
      </c>
    </row>
    <row r="111" spans="1:10" ht="12.75" customHeight="1" x14ac:dyDescent="0.2">
      <c r="A111" t="s">
        <v>10</v>
      </c>
      <c r="B111">
        <v>0</v>
      </c>
      <c r="C111">
        <v>250</v>
      </c>
      <c r="D111">
        <f t="shared" ref="D111:D144" si="4">C111-B111</f>
        <v>250</v>
      </c>
      <c r="E111" t="s">
        <v>162</v>
      </c>
      <c r="F111">
        <v>9</v>
      </c>
      <c r="G111" t="str">
        <f>LOOKUP(Componenten[[#This Row],[id_initieel_mechanisme]],Faalmechanismen[id],Faalmechanismen[Initieel_mechanisme])</f>
        <v>Binnenwaartse macro-instabiliteit</v>
      </c>
      <c r="H111">
        <v>1</v>
      </c>
      <c r="I111">
        <v>1.2492072462170911E-9</v>
      </c>
      <c r="J111" s="2">
        <v>0.7</v>
      </c>
    </row>
    <row r="112" spans="1:10" ht="12.75" customHeight="1" x14ac:dyDescent="0.2">
      <c r="A112" t="s">
        <v>10</v>
      </c>
      <c r="B112">
        <v>250</v>
      </c>
      <c r="C112">
        <v>550</v>
      </c>
      <c r="D112">
        <f t="shared" si="4"/>
        <v>300</v>
      </c>
      <c r="E112" t="s">
        <v>163</v>
      </c>
      <c r="F112">
        <v>9</v>
      </c>
      <c r="G112" t="str">
        <f>LOOKUP(Componenten[[#This Row],[id_initieel_mechanisme]],Faalmechanismen[id],Faalmechanismen[Initieel_mechanisme])</f>
        <v>Binnenwaartse macro-instabiliteit</v>
      </c>
      <c r="H112">
        <v>1</v>
      </c>
      <c r="I112">
        <v>4.1445957447333992E-9</v>
      </c>
      <c r="J112" s="2">
        <v>0.7</v>
      </c>
    </row>
    <row r="113" spans="1:10" ht="12.75" customHeight="1" x14ac:dyDescent="0.2">
      <c r="A113" t="s">
        <v>10</v>
      </c>
      <c r="B113">
        <v>550</v>
      </c>
      <c r="C113">
        <v>850</v>
      </c>
      <c r="D113">
        <f t="shared" si="4"/>
        <v>300</v>
      </c>
      <c r="E113" t="s">
        <v>164</v>
      </c>
      <c r="F113">
        <v>9</v>
      </c>
      <c r="G113" t="str">
        <f>LOOKUP(Componenten[[#This Row],[id_initieel_mechanisme]],Faalmechanismen[id],Faalmechanismen[Initieel_mechanisme])</f>
        <v>Binnenwaartse macro-instabiliteit</v>
      </c>
      <c r="H113">
        <v>1</v>
      </c>
      <c r="I113">
        <v>4.4368168772562391E-8</v>
      </c>
      <c r="J113" s="2">
        <v>0.7</v>
      </c>
    </row>
    <row r="114" spans="1:10" ht="12.75" customHeight="1" x14ac:dyDescent="0.2">
      <c r="A114" t="s">
        <v>10</v>
      </c>
      <c r="B114">
        <v>850</v>
      </c>
      <c r="C114">
        <v>1150</v>
      </c>
      <c r="D114">
        <f t="shared" si="4"/>
        <v>300</v>
      </c>
      <c r="E114" t="s">
        <v>165</v>
      </c>
      <c r="F114">
        <v>9</v>
      </c>
      <c r="G114" t="str">
        <f>LOOKUP(Componenten[[#This Row],[id_initieel_mechanisme]],Faalmechanismen[id],Faalmechanismen[Initieel_mechanisme])</f>
        <v>Binnenwaartse macro-instabiliteit</v>
      </c>
      <c r="H114">
        <v>1</v>
      </c>
      <c r="I114">
        <v>2.1251426689568633E-10</v>
      </c>
      <c r="J114" s="2">
        <v>0.7</v>
      </c>
    </row>
    <row r="115" spans="1:10" ht="12.75" customHeight="1" x14ac:dyDescent="0.2">
      <c r="A115" t="s">
        <v>10</v>
      </c>
      <c r="B115">
        <v>1150</v>
      </c>
      <c r="C115">
        <v>1450</v>
      </c>
      <c r="D115">
        <f t="shared" si="4"/>
        <v>300</v>
      </c>
      <c r="E115" t="s">
        <v>166</v>
      </c>
      <c r="F115">
        <v>9</v>
      </c>
      <c r="G115" t="str">
        <f>LOOKUP(Componenten[[#This Row],[id_initieel_mechanisme]],Faalmechanismen[id],Faalmechanismen[Initieel_mechanisme])</f>
        <v>Binnenwaartse macro-instabiliteit</v>
      </c>
      <c r="H115">
        <v>1</v>
      </c>
      <c r="I115">
        <v>4.339775314513628E-7</v>
      </c>
      <c r="J115" s="2">
        <v>0.7</v>
      </c>
    </row>
    <row r="116" spans="1:10" ht="12.75" customHeight="1" x14ac:dyDescent="0.2">
      <c r="A116" t="s">
        <v>10</v>
      </c>
      <c r="B116">
        <v>1450</v>
      </c>
      <c r="C116">
        <v>1750</v>
      </c>
      <c r="D116">
        <f t="shared" si="4"/>
        <v>300</v>
      </c>
      <c r="E116" t="s">
        <v>167</v>
      </c>
      <c r="F116">
        <v>9</v>
      </c>
      <c r="G116" t="str">
        <f>LOOKUP(Componenten[[#This Row],[id_initieel_mechanisme]],Faalmechanismen[id],Faalmechanismen[Initieel_mechanisme])</f>
        <v>Binnenwaartse macro-instabiliteit</v>
      </c>
      <c r="H116">
        <v>1</v>
      </c>
      <c r="I116">
        <v>1.4596757623026608E-10</v>
      </c>
      <c r="J116" s="2">
        <v>0.7</v>
      </c>
    </row>
    <row r="117" spans="1:10" ht="12.75" customHeight="1" x14ac:dyDescent="0.2">
      <c r="A117" t="s">
        <v>10</v>
      </c>
      <c r="B117">
        <v>1750</v>
      </c>
      <c r="C117">
        <v>2050</v>
      </c>
      <c r="D117">
        <f t="shared" si="4"/>
        <v>300</v>
      </c>
      <c r="E117" t="s">
        <v>168</v>
      </c>
      <c r="F117">
        <v>9</v>
      </c>
      <c r="G117" t="str">
        <f>LOOKUP(Componenten[[#This Row],[id_initieel_mechanisme]],Faalmechanismen[id],Faalmechanismen[Initieel_mechanisme])</f>
        <v>Binnenwaartse macro-instabiliteit</v>
      </c>
      <c r="H117">
        <v>1</v>
      </c>
      <c r="I117">
        <v>5.3673190704922351E-9</v>
      </c>
      <c r="J117" s="2">
        <v>0.7</v>
      </c>
    </row>
    <row r="118" spans="1:10" ht="12.75" customHeight="1" x14ac:dyDescent="0.2">
      <c r="A118" t="s">
        <v>10</v>
      </c>
      <c r="B118">
        <v>2050</v>
      </c>
      <c r="C118">
        <v>2350</v>
      </c>
      <c r="D118">
        <f t="shared" si="4"/>
        <v>300</v>
      </c>
      <c r="E118" t="s">
        <v>169</v>
      </c>
      <c r="F118">
        <v>9</v>
      </c>
      <c r="G118" t="str">
        <f>LOOKUP(Componenten[[#This Row],[id_initieel_mechanisme]],Faalmechanismen[id],Faalmechanismen[Initieel_mechanisme])</f>
        <v>Binnenwaartse macro-instabiliteit</v>
      </c>
      <c r="H118">
        <v>1</v>
      </c>
      <c r="I118">
        <v>9.3001615626873228E-11</v>
      </c>
      <c r="J118" s="2">
        <v>0.7</v>
      </c>
    </row>
    <row r="119" spans="1:10" ht="12.75" customHeight="1" x14ac:dyDescent="0.2">
      <c r="A119" t="s">
        <v>10</v>
      </c>
      <c r="B119">
        <v>2350</v>
      </c>
      <c r="C119">
        <v>2500</v>
      </c>
      <c r="D119">
        <f t="shared" si="4"/>
        <v>150</v>
      </c>
      <c r="E119" t="s">
        <v>170</v>
      </c>
      <c r="F119">
        <v>9</v>
      </c>
      <c r="G119" t="str">
        <f>LOOKUP(Componenten[[#This Row],[id_initieel_mechanisme]],Faalmechanismen[id],Faalmechanismen[Initieel_mechanisme])</f>
        <v>Binnenwaartse macro-instabiliteit</v>
      </c>
      <c r="H119">
        <v>1</v>
      </c>
      <c r="I119">
        <v>6.9483871576510755E-9</v>
      </c>
      <c r="J119" s="2">
        <v>0.7</v>
      </c>
    </row>
    <row r="120" spans="1:10" ht="12.75" customHeight="1" x14ac:dyDescent="0.2">
      <c r="A120" t="s">
        <v>10</v>
      </c>
      <c r="B120">
        <v>2500</v>
      </c>
      <c r="C120">
        <v>2750</v>
      </c>
      <c r="D120">
        <f t="shared" si="4"/>
        <v>250</v>
      </c>
      <c r="E120" t="s">
        <v>171</v>
      </c>
      <c r="F120">
        <v>9</v>
      </c>
      <c r="G120" t="str">
        <f>LOOKUP(Componenten[[#This Row],[id_initieel_mechanisme]],Faalmechanismen[id],Faalmechanismen[Initieel_mechanisme])</f>
        <v>Binnenwaartse macro-instabiliteit</v>
      </c>
      <c r="H120">
        <v>1</v>
      </c>
      <c r="I120">
        <v>1.0393466380879464E-12</v>
      </c>
      <c r="J120" s="2">
        <v>0.7</v>
      </c>
    </row>
    <row r="121" spans="1:10" ht="12.75" customHeight="1" x14ac:dyDescent="0.2">
      <c r="A121" t="s">
        <v>10</v>
      </c>
      <c r="B121">
        <v>2750</v>
      </c>
      <c r="C121">
        <v>3050</v>
      </c>
      <c r="D121">
        <f t="shared" si="4"/>
        <v>300</v>
      </c>
      <c r="E121" t="s">
        <v>172</v>
      </c>
      <c r="F121">
        <v>9</v>
      </c>
      <c r="G121" t="str">
        <f>LOOKUP(Componenten[[#This Row],[id_initieel_mechanisme]],Faalmechanismen[id],Faalmechanismen[Initieel_mechanisme])</f>
        <v>Binnenwaartse macro-instabiliteit</v>
      </c>
      <c r="H121">
        <v>1</v>
      </c>
      <c r="I121">
        <v>1.3964823538596221E-9</v>
      </c>
      <c r="J121" s="2">
        <v>0.7</v>
      </c>
    </row>
    <row r="122" spans="1:10" ht="12.75" customHeight="1" x14ac:dyDescent="0.2">
      <c r="A122" t="s">
        <v>10</v>
      </c>
      <c r="B122">
        <v>3050</v>
      </c>
      <c r="C122">
        <v>3350</v>
      </c>
      <c r="D122">
        <f t="shared" si="4"/>
        <v>300</v>
      </c>
      <c r="E122" t="s">
        <v>173</v>
      </c>
      <c r="F122">
        <v>9</v>
      </c>
      <c r="G122" t="str">
        <f>LOOKUP(Componenten[[#This Row],[id_initieel_mechanisme]],Faalmechanismen[id],Faalmechanismen[Initieel_mechanisme])</f>
        <v>Binnenwaartse macro-instabiliteit</v>
      </c>
      <c r="H122">
        <v>1</v>
      </c>
      <c r="I122">
        <v>3.4891278602129985E-9</v>
      </c>
      <c r="J122" s="2">
        <v>0.7</v>
      </c>
    </row>
    <row r="123" spans="1:10" ht="12.75" customHeight="1" x14ac:dyDescent="0.2">
      <c r="A123" t="s">
        <v>10</v>
      </c>
      <c r="B123">
        <v>3350</v>
      </c>
      <c r="C123">
        <v>3650</v>
      </c>
      <c r="D123">
        <f t="shared" si="4"/>
        <v>300</v>
      </c>
      <c r="E123" t="s">
        <v>174</v>
      </c>
      <c r="F123">
        <v>9</v>
      </c>
      <c r="G123" t="str">
        <f>LOOKUP(Componenten[[#This Row],[id_initieel_mechanisme]],Faalmechanismen[id],Faalmechanismen[Initieel_mechanisme])</f>
        <v>Binnenwaartse macro-instabiliteit</v>
      </c>
      <c r="H123">
        <v>1</v>
      </c>
      <c r="I123">
        <v>3.0903358716718821E-7</v>
      </c>
      <c r="J123" s="2">
        <v>0.7</v>
      </c>
    </row>
    <row r="124" spans="1:10" ht="12.75" customHeight="1" x14ac:dyDescent="0.2">
      <c r="A124" t="s">
        <v>10</v>
      </c>
      <c r="B124">
        <v>3650</v>
      </c>
      <c r="C124">
        <v>3950</v>
      </c>
      <c r="D124">
        <f t="shared" si="4"/>
        <v>300</v>
      </c>
      <c r="E124" t="s">
        <v>175</v>
      </c>
      <c r="F124">
        <v>9</v>
      </c>
      <c r="G124" t="str">
        <f>LOOKUP(Componenten[[#This Row],[id_initieel_mechanisme]],Faalmechanismen[id],Faalmechanismen[Initieel_mechanisme])</f>
        <v>Binnenwaartse macro-instabiliteit</v>
      </c>
      <c r="H124">
        <v>1</v>
      </c>
      <c r="I124">
        <v>3.8973335377166177E-10</v>
      </c>
      <c r="J124" s="2">
        <v>0.7</v>
      </c>
    </row>
    <row r="125" spans="1:10" ht="12.75" customHeight="1" x14ac:dyDescent="0.2">
      <c r="A125" t="s">
        <v>10</v>
      </c>
      <c r="B125">
        <v>3950</v>
      </c>
      <c r="C125">
        <v>4250</v>
      </c>
      <c r="D125">
        <f t="shared" si="4"/>
        <v>300</v>
      </c>
      <c r="E125" t="s">
        <v>176</v>
      </c>
      <c r="F125">
        <v>9</v>
      </c>
      <c r="G125" t="str">
        <f>LOOKUP(Componenten[[#This Row],[id_initieel_mechanisme]],Faalmechanismen[id],Faalmechanismen[Initieel_mechanisme])</f>
        <v>Binnenwaartse macro-instabiliteit</v>
      </c>
      <c r="H125">
        <v>1</v>
      </c>
      <c r="I125">
        <v>4.5169877953274894E-9</v>
      </c>
      <c r="J125" s="2">
        <v>0.7</v>
      </c>
    </row>
    <row r="126" spans="1:10" ht="12.75" customHeight="1" x14ac:dyDescent="0.2">
      <c r="A126" t="s">
        <v>10</v>
      </c>
      <c r="B126">
        <v>4250</v>
      </c>
      <c r="C126">
        <v>4550</v>
      </c>
      <c r="D126">
        <f t="shared" si="4"/>
        <v>300</v>
      </c>
      <c r="E126" t="s">
        <v>177</v>
      </c>
      <c r="F126">
        <v>9</v>
      </c>
      <c r="G126" t="str">
        <f>LOOKUP(Componenten[[#This Row],[id_initieel_mechanisme]],Faalmechanismen[id],Faalmechanismen[Initieel_mechanisme])</f>
        <v>Binnenwaartse macro-instabiliteit</v>
      </c>
      <c r="H126">
        <v>1</v>
      </c>
      <c r="I126">
        <v>2.1231385638256419E-12</v>
      </c>
      <c r="J126" s="2">
        <v>0.7</v>
      </c>
    </row>
    <row r="127" spans="1:10" ht="12.75" customHeight="1" x14ac:dyDescent="0.2">
      <c r="A127" t="s">
        <v>10</v>
      </c>
      <c r="B127">
        <v>4550</v>
      </c>
      <c r="C127">
        <v>4850</v>
      </c>
      <c r="D127">
        <f t="shared" si="4"/>
        <v>300</v>
      </c>
      <c r="E127" t="s">
        <v>178</v>
      </c>
      <c r="F127">
        <v>9</v>
      </c>
      <c r="G127" t="str">
        <f>LOOKUP(Componenten[[#This Row],[id_initieel_mechanisme]],Faalmechanismen[id],Faalmechanismen[Initieel_mechanisme])</f>
        <v>Binnenwaartse macro-instabiliteit</v>
      </c>
      <c r="H127">
        <v>1</v>
      </c>
      <c r="I127">
        <v>2.0992714108195717E-8</v>
      </c>
      <c r="J127" s="2">
        <v>0.7</v>
      </c>
    </row>
    <row r="128" spans="1:10" ht="12.75" customHeight="1" x14ac:dyDescent="0.2">
      <c r="A128" t="s">
        <v>10</v>
      </c>
      <c r="B128">
        <v>4850</v>
      </c>
      <c r="C128">
        <v>5150</v>
      </c>
      <c r="D128">
        <f t="shared" si="4"/>
        <v>300</v>
      </c>
      <c r="E128" t="s">
        <v>179</v>
      </c>
      <c r="F128">
        <v>9</v>
      </c>
      <c r="G128" t="str">
        <f>LOOKUP(Componenten[[#This Row],[id_initieel_mechanisme]],Faalmechanismen[id],Faalmechanismen[Initieel_mechanisme])</f>
        <v>Binnenwaartse macro-instabiliteit</v>
      </c>
      <c r="H128">
        <v>1</v>
      </c>
      <c r="I128">
        <v>1.9693975967771285E-9</v>
      </c>
      <c r="J128" s="2">
        <v>0.7</v>
      </c>
    </row>
    <row r="129" spans="1:10" ht="12.75" customHeight="1" x14ac:dyDescent="0.2">
      <c r="A129" t="s">
        <v>10</v>
      </c>
      <c r="B129">
        <v>5150</v>
      </c>
      <c r="C129">
        <v>5450</v>
      </c>
      <c r="D129">
        <f t="shared" si="4"/>
        <v>300</v>
      </c>
      <c r="E129" t="s">
        <v>180</v>
      </c>
      <c r="F129">
        <v>9</v>
      </c>
      <c r="G129" t="str">
        <f>LOOKUP(Componenten[[#This Row],[id_initieel_mechanisme]],Faalmechanismen[id],Faalmechanismen[Initieel_mechanisme])</f>
        <v>Binnenwaartse macro-instabiliteit</v>
      </c>
      <c r="H129">
        <v>1</v>
      </c>
      <c r="I129">
        <v>1.3955651807913711E-9</v>
      </c>
      <c r="J129" s="2">
        <v>0.7</v>
      </c>
    </row>
    <row r="130" spans="1:10" ht="12.75" customHeight="1" x14ac:dyDescent="0.2">
      <c r="A130" t="s">
        <v>10</v>
      </c>
      <c r="B130">
        <v>5450</v>
      </c>
      <c r="C130">
        <v>5750</v>
      </c>
      <c r="D130">
        <f t="shared" si="4"/>
        <v>300</v>
      </c>
      <c r="E130" t="s">
        <v>181</v>
      </c>
      <c r="F130">
        <v>9</v>
      </c>
      <c r="G130" t="str">
        <f>LOOKUP(Componenten[[#This Row],[id_initieel_mechanisme]],Faalmechanismen[id],Faalmechanismen[Initieel_mechanisme])</f>
        <v>Binnenwaartse macro-instabiliteit</v>
      </c>
      <c r="H130">
        <v>1</v>
      </c>
      <c r="I130">
        <v>4.5417238201109895E-7</v>
      </c>
      <c r="J130" s="2">
        <v>0.7</v>
      </c>
    </row>
    <row r="131" spans="1:10" ht="12.75" customHeight="1" x14ac:dyDescent="0.2">
      <c r="A131" t="s">
        <v>10</v>
      </c>
      <c r="B131">
        <v>5750</v>
      </c>
      <c r="C131">
        <v>6050</v>
      </c>
      <c r="D131">
        <f t="shared" si="4"/>
        <v>300</v>
      </c>
      <c r="E131" t="s">
        <v>182</v>
      </c>
      <c r="F131">
        <v>9</v>
      </c>
      <c r="G131" t="str">
        <f>LOOKUP(Componenten[[#This Row],[id_initieel_mechanisme]],Faalmechanismen[id],Faalmechanismen[Initieel_mechanisme])</f>
        <v>Binnenwaartse macro-instabiliteit</v>
      </c>
      <c r="H131">
        <v>1</v>
      </c>
      <c r="I131">
        <v>1.6998916818199543E-7</v>
      </c>
      <c r="J131" s="2">
        <v>0.7</v>
      </c>
    </row>
    <row r="132" spans="1:10" ht="12.75" customHeight="1" x14ac:dyDescent="0.2">
      <c r="A132" t="s">
        <v>10</v>
      </c>
      <c r="B132">
        <v>6050</v>
      </c>
      <c r="C132">
        <v>6350</v>
      </c>
      <c r="D132">
        <f t="shared" si="4"/>
        <v>300</v>
      </c>
      <c r="E132" t="s">
        <v>183</v>
      </c>
      <c r="F132">
        <v>9</v>
      </c>
      <c r="G132" t="str">
        <f>LOOKUP(Componenten[[#This Row],[id_initieel_mechanisme]],Faalmechanismen[id],Faalmechanismen[Initieel_mechanisme])</f>
        <v>Binnenwaartse macro-instabiliteit</v>
      </c>
      <c r="H132">
        <v>0.7</v>
      </c>
      <c r="I132">
        <v>1.2425315069379504E-8</v>
      </c>
      <c r="J132" s="2">
        <v>0.7</v>
      </c>
    </row>
    <row r="133" spans="1:10" ht="12.75" customHeight="1" x14ac:dyDescent="0.2">
      <c r="A133" t="s">
        <v>10</v>
      </c>
      <c r="B133">
        <v>6350</v>
      </c>
      <c r="C133">
        <v>6650</v>
      </c>
      <c r="D133">
        <f t="shared" si="4"/>
        <v>300</v>
      </c>
      <c r="E133" t="s">
        <v>184</v>
      </c>
      <c r="F133">
        <v>9</v>
      </c>
      <c r="G133" t="str">
        <f>LOOKUP(Componenten[[#This Row],[id_initieel_mechanisme]],Faalmechanismen[id],Faalmechanismen[Initieel_mechanisme])</f>
        <v>Binnenwaartse macro-instabiliteit</v>
      </c>
      <c r="H133">
        <v>1</v>
      </c>
      <c r="I133">
        <v>7.6349299010128361E-10</v>
      </c>
      <c r="J133" s="2">
        <v>0.7</v>
      </c>
    </row>
    <row r="134" spans="1:10" ht="12.75" customHeight="1" x14ac:dyDescent="0.2">
      <c r="A134" t="s">
        <v>10</v>
      </c>
      <c r="B134">
        <v>6650</v>
      </c>
      <c r="C134">
        <v>6950</v>
      </c>
      <c r="D134">
        <f t="shared" si="4"/>
        <v>300</v>
      </c>
      <c r="E134" t="s">
        <v>185</v>
      </c>
      <c r="F134">
        <v>9</v>
      </c>
      <c r="G134" t="str">
        <f>LOOKUP(Componenten[[#This Row],[id_initieel_mechanisme]],Faalmechanismen[id],Faalmechanismen[Initieel_mechanisme])</f>
        <v>Binnenwaartse macro-instabiliteit</v>
      </c>
      <c r="H134">
        <v>1</v>
      </c>
      <c r="I134">
        <v>1.6515450868089158E-12</v>
      </c>
      <c r="J134" s="2">
        <v>0.7</v>
      </c>
    </row>
    <row r="135" spans="1:10" ht="12.75" customHeight="1" x14ac:dyDescent="0.2">
      <c r="A135" t="s">
        <v>10</v>
      </c>
      <c r="B135">
        <v>6950</v>
      </c>
      <c r="C135">
        <v>7250</v>
      </c>
      <c r="D135">
        <f t="shared" si="4"/>
        <v>300</v>
      </c>
      <c r="E135" t="s">
        <v>186</v>
      </c>
      <c r="F135">
        <v>9</v>
      </c>
      <c r="G135" t="str">
        <f>LOOKUP(Componenten[[#This Row],[id_initieel_mechanisme]],Faalmechanismen[id],Faalmechanismen[Initieel_mechanisme])</f>
        <v>Binnenwaartse macro-instabiliteit</v>
      </c>
      <c r="H135">
        <v>1</v>
      </c>
      <c r="I135">
        <v>1.013269338722548E-7</v>
      </c>
      <c r="J135" s="2">
        <v>0.7</v>
      </c>
    </row>
    <row r="136" spans="1:10" ht="12.75" customHeight="1" x14ac:dyDescent="0.2">
      <c r="A136" t="s">
        <v>10</v>
      </c>
      <c r="B136">
        <v>7250</v>
      </c>
      <c r="C136">
        <v>7550</v>
      </c>
      <c r="D136">
        <f t="shared" si="4"/>
        <v>300</v>
      </c>
      <c r="E136" t="s">
        <v>187</v>
      </c>
      <c r="F136">
        <v>9</v>
      </c>
      <c r="G136" t="str">
        <f>LOOKUP(Componenten[[#This Row],[id_initieel_mechanisme]],Faalmechanismen[id],Faalmechanismen[Initieel_mechanisme])</f>
        <v>Binnenwaartse macro-instabiliteit</v>
      </c>
      <c r="H136">
        <v>1</v>
      </c>
      <c r="I136">
        <v>1.2153808818771133E-7</v>
      </c>
      <c r="J136" s="2">
        <v>0.7</v>
      </c>
    </row>
    <row r="137" spans="1:10" ht="12.75" customHeight="1" x14ac:dyDescent="0.2">
      <c r="A137" t="s">
        <v>10</v>
      </c>
      <c r="B137">
        <v>7550</v>
      </c>
      <c r="C137">
        <v>7850</v>
      </c>
      <c r="D137">
        <f t="shared" si="4"/>
        <v>300</v>
      </c>
      <c r="E137" t="s">
        <v>188</v>
      </c>
      <c r="F137">
        <v>9</v>
      </c>
      <c r="G137" t="str">
        <f>LOOKUP(Componenten[[#This Row],[id_initieel_mechanisme]],Faalmechanismen[id],Faalmechanismen[Initieel_mechanisme])</f>
        <v>Binnenwaartse macro-instabiliteit</v>
      </c>
      <c r="H137">
        <v>1</v>
      </c>
      <c r="I137">
        <v>1.4345205061050374E-8</v>
      </c>
      <c r="J137" s="2">
        <v>0.7</v>
      </c>
    </row>
    <row r="138" spans="1:10" ht="12.75" customHeight="1" x14ac:dyDescent="0.2">
      <c r="A138" t="s">
        <v>10</v>
      </c>
      <c r="B138">
        <v>7850</v>
      </c>
      <c r="C138">
        <v>8150</v>
      </c>
      <c r="D138">
        <f t="shared" si="4"/>
        <v>300</v>
      </c>
      <c r="E138" t="s">
        <v>189</v>
      </c>
      <c r="F138">
        <v>9</v>
      </c>
      <c r="G138" t="str">
        <f>LOOKUP(Componenten[[#This Row],[id_initieel_mechanisme]],Faalmechanismen[id],Faalmechanismen[Initieel_mechanisme])</f>
        <v>Binnenwaartse macro-instabiliteit</v>
      </c>
      <c r="H138">
        <v>1</v>
      </c>
      <c r="I138">
        <v>3.1477369540685383E-8</v>
      </c>
      <c r="J138" s="2">
        <v>0.7</v>
      </c>
    </row>
    <row r="139" spans="1:10" ht="12.75" customHeight="1" x14ac:dyDescent="0.2">
      <c r="A139" t="s">
        <v>10</v>
      </c>
      <c r="B139">
        <v>8150</v>
      </c>
      <c r="C139">
        <v>8450</v>
      </c>
      <c r="D139">
        <f t="shared" si="4"/>
        <v>300</v>
      </c>
      <c r="E139" t="s">
        <v>190</v>
      </c>
      <c r="F139">
        <v>9</v>
      </c>
      <c r="G139" t="str">
        <f>LOOKUP(Componenten[[#This Row],[id_initieel_mechanisme]],Faalmechanismen[id],Faalmechanismen[Initieel_mechanisme])</f>
        <v>Binnenwaartse macro-instabiliteit</v>
      </c>
      <c r="H139">
        <v>1</v>
      </c>
      <c r="I139">
        <v>1.5710557937469325E-10</v>
      </c>
      <c r="J139" s="2">
        <v>0.7</v>
      </c>
    </row>
    <row r="140" spans="1:10" ht="12.75" customHeight="1" x14ac:dyDescent="0.2">
      <c r="A140" t="s">
        <v>10</v>
      </c>
      <c r="B140">
        <v>8450</v>
      </c>
      <c r="C140">
        <v>8750</v>
      </c>
      <c r="D140">
        <f t="shared" si="4"/>
        <v>300</v>
      </c>
      <c r="E140" t="s">
        <v>191</v>
      </c>
      <c r="F140">
        <v>9</v>
      </c>
      <c r="G140" t="str">
        <f>LOOKUP(Componenten[[#This Row],[id_initieel_mechanisme]],Faalmechanismen[id],Faalmechanismen[Initieel_mechanisme])</f>
        <v>Binnenwaartse macro-instabiliteit</v>
      </c>
      <c r="H140">
        <v>1</v>
      </c>
      <c r="I140">
        <v>2.5963626020669705E-11</v>
      </c>
      <c r="J140" s="2">
        <v>0.7</v>
      </c>
    </row>
    <row r="141" spans="1:10" ht="12.75" customHeight="1" x14ac:dyDescent="0.2">
      <c r="A141" t="s">
        <v>10</v>
      </c>
      <c r="B141">
        <v>8750</v>
      </c>
      <c r="C141">
        <v>9050</v>
      </c>
      <c r="D141">
        <f t="shared" si="4"/>
        <v>300</v>
      </c>
      <c r="E141" t="s">
        <v>192</v>
      </c>
      <c r="F141">
        <v>9</v>
      </c>
      <c r="G141" t="str">
        <f>LOOKUP(Componenten[[#This Row],[id_initieel_mechanisme]],Faalmechanismen[id],Faalmechanismen[Initieel_mechanisme])</f>
        <v>Binnenwaartse macro-instabiliteit</v>
      </c>
      <c r="H141">
        <v>1</v>
      </c>
      <c r="I141">
        <v>1.5029462493967018E-10</v>
      </c>
      <c r="J141" s="2">
        <v>0.7</v>
      </c>
    </row>
    <row r="142" spans="1:10" ht="12.75" customHeight="1" x14ac:dyDescent="0.2">
      <c r="A142" t="s">
        <v>10</v>
      </c>
      <c r="B142">
        <v>9050</v>
      </c>
      <c r="C142">
        <v>9350</v>
      </c>
      <c r="D142">
        <f t="shared" si="4"/>
        <v>300</v>
      </c>
      <c r="E142" t="s">
        <v>193</v>
      </c>
      <c r="F142">
        <v>9</v>
      </c>
      <c r="G142" t="str">
        <f>LOOKUP(Componenten[[#This Row],[id_initieel_mechanisme]],Faalmechanismen[id],Faalmechanismen[Initieel_mechanisme])</f>
        <v>Binnenwaartse macro-instabiliteit</v>
      </c>
      <c r="H142">
        <v>1</v>
      </c>
      <c r="I142">
        <v>1.3538176958990334E-9</v>
      </c>
      <c r="J142" s="2">
        <v>0.7</v>
      </c>
    </row>
    <row r="143" spans="1:10" ht="12.75" customHeight="1" x14ac:dyDescent="0.2">
      <c r="A143" t="s">
        <v>10</v>
      </c>
      <c r="B143">
        <v>9350</v>
      </c>
      <c r="C143">
        <v>9650</v>
      </c>
      <c r="D143">
        <f t="shared" si="4"/>
        <v>300</v>
      </c>
      <c r="E143" t="s">
        <v>194</v>
      </c>
      <c r="F143">
        <v>9</v>
      </c>
      <c r="G143" t="str">
        <f>LOOKUP(Componenten[[#This Row],[id_initieel_mechanisme]],Faalmechanismen[id],Faalmechanismen[Initieel_mechanisme])</f>
        <v>Binnenwaartse macro-instabiliteit</v>
      </c>
      <c r="H143">
        <v>1</v>
      </c>
      <c r="I143">
        <v>2.4496823222856079E-12</v>
      </c>
      <c r="J143" s="2">
        <v>0.7</v>
      </c>
    </row>
    <row r="144" spans="1:10" ht="12.75" customHeight="1" x14ac:dyDescent="0.2">
      <c r="A144" t="s">
        <v>10</v>
      </c>
      <c r="B144">
        <v>9650</v>
      </c>
      <c r="C144">
        <v>10000</v>
      </c>
      <c r="D144">
        <f t="shared" si="4"/>
        <v>350</v>
      </c>
      <c r="E144" t="s">
        <v>195</v>
      </c>
      <c r="F144">
        <v>9</v>
      </c>
      <c r="G144" t="str">
        <f>LOOKUP(Componenten[[#This Row],[id_initieel_mechanisme]],Faalmechanismen[id],Faalmechanismen[Initieel_mechanisme])</f>
        <v>Binnenwaartse macro-instabiliteit</v>
      </c>
      <c r="H144">
        <v>1</v>
      </c>
      <c r="I144">
        <v>6.9817985803671436E-7</v>
      </c>
      <c r="J144" s="2">
        <v>0.7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zoomScale="145" zoomScaleNormal="145" workbookViewId="0">
      <selection activeCell="H9" sqref="H9"/>
    </sheetView>
  </sheetViews>
  <sheetFormatPr defaultColWidth="11.5703125" defaultRowHeight="12.75" customHeight="1" x14ac:dyDescent="0.2"/>
  <cols>
    <col min="2" max="2" width="43.140625" customWidth="1"/>
    <col min="3" max="3" width="38.140625" customWidth="1"/>
    <col min="4" max="4" width="21.42578125" customWidth="1"/>
    <col min="6" max="6" width="33.42578125" customWidth="1"/>
    <col min="7" max="7" width="30.28515625" customWidth="1"/>
    <col min="8" max="8" width="11.85546875" customWidth="1"/>
  </cols>
  <sheetData>
    <row r="1" spans="1:9" ht="12.75" customHeight="1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ht="12.75" customHeight="1" x14ac:dyDescent="0.2">
      <c r="A2">
        <v>1</v>
      </c>
      <c r="B2" t="s">
        <v>21</v>
      </c>
      <c r="C2" t="s">
        <v>22</v>
      </c>
      <c r="D2" t="s">
        <v>23</v>
      </c>
      <c r="E2">
        <v>5000</v>
      </c>
      <c r="F2" t="s">
        <v>24</v>
      </c>
      <c r="G2" t="s">
        <v>24</v>
      </c>
      <c r="H2">
        <v>0.7</v>
      </c>
      <c r="I2">
        <v>99000</v>
      </c>
    </row>
    <row r="3" spans="1:9" ht="12.75" customHeight="1" x14ac:dyDescent="0.2">
      <c r="A3">
        <v>2</v>
      </c>
      <c r="B3" t="s">
        <v>21</v>
      </c>
      <c r="C3" t="s">
        <v>25</v>
      </c>
      <c r="D3" t="s">
        <v>26</v>
      </c>
      <c r="E3">
        <v>5000</v>
      </c>
      <c r="F3" t="s">
        <v>24</v>
      </c>
      <c r="G3" t="s">
        <v>24</v>
      </c>
      <c r="H3">
        <v>0.7</v>
      </c>
      <c r="I3">
        <v>99000</v>
      </c>
    </row>
    <row r="4" spans="1:9" ht="12.75" customHeight="1" x14ac:dyDescent="0.2">
      <c r="A4">
        <v>3</v>
      </c>
      <c r="B4" t="s">
        <v>21</v>
      </c>
      <c r="C4" t="s">
        <v>27</v>
      </c>
      <c r="D4" t="s">
        <v>28</v>
      </c>
      <c r="E4">
        <v>5000</v>
      </c>
      <c r="F4" t="s">
        <v>24</v>
      </c>
      <c r="G4" t="s">
        <v>24</v>
      </c>
      <c r="H4">
        <v>0.7</v>
      </c>
      <c r="I4">
        <v>99000</v>
      </c>
    </row>
    <row r="5" spans="1:9" ht="12.75" customHeight="1" x14ac:dyDescent="0.2">
      <c r="A5">
        <v>4</v>
      </c>
      <c r="B5" t="s">
        <v>21</v>
      </c>
      <c r="C5" t="s">
        <v>29</v>
      </c>
      <c r="D5" t="s">
        <v>30</v>
      </c>
      <c r="E5">
        <v>5000</v>
      </c>
      <c r="F5" t="s">
        <v>24</v>
      </c>
      <c r="G5" t="s">
        <v>24</v>
      </c>
      <c r="H5">
        <v>0.7</v>
      </c>
      <c r="I5">
        <v>99000</v>
      </c>
    </row>
    <row r="6" spans="1:9" ht="12.75" customHeight="1" x14ac:dyDescent="0.2">
      <c r="A6">
        <v>5</v>
      </c>
      <c r="B6" t="s">
        <v>21</v>
      </c>
      <c r="C6" t="s">
        <v>31</v>
      </c>
      <c r="D6" t="s">
        <v>32</v>
      </c>
      <c r="E6">
        <v>5000</v>
      </c>
      <c r="F6" t="s">
        <v>24</v>
      </c>
      <c r="G6" t="s">
        <v>24</v>
      </c>
      <c r="H6">
        <v>0.7</v>
      </c>
      <c r="I6">
        <v>99000</v>
      </c>
    </row>
    <row r="7" spans="1:9" ht="12.75" customHeight="1" x14ac:dyDescent="0.2">
      <c r="A7">
        <v>6</v>
      </c>
      <c r="B7" t="s">
        <v>33</v>
      </c>
      <c r="C7" t="s">
        <v>34</v>
      </c>
      <c r="D7" t="s">
        <v>35</v>
      </c>
      <c r="E7">
        <v>5000</v>
      </c>
      <c r="F7" t="s">
        <v>24</v>
      </c>
      <c r="G7" t="s">
        <v>24</v>
      </c>
      <c r="H7">
        <v>0.7</v>
      </c>
      <c r="I7">
        <v>99000</v>
      </c>
    </row>
    <row r="8" spans="1:9" ht="12.75" customHeight="1" x14ac:dyDescent="0.2">
      <c r="A8">
        <v>7</v>
      </c>
      <c r="B8" t="s">
        <v>33</v>
      </c>
      <c r="C8" t="s">
        <v>36</v>
      </c>
      <c r="D8" t="s">
        <v>37</v>
      </c>
      <c r="E8">
        <v>5000</v>
      </c>
      <c r="F8" t="s">
        <v>24</v>
      </c>
      <c r="G8" t="s">
        <v>24</v>
      </c>
      <c r="H8">
        <v>0.7</v>
      </c>
      <c r="I8">
        <v>99000</v>
      </c>
    </row>
    <row r="9" spans="1:9" ht="12.75" customHeight="1" x14ac:dyDescent="0.2">
      <c r="A9">
        <v>8</v>
      </c>
      <c r="B9" t="s">
        <v>38</v>
      </c>
      <c r="C9" t="s">
        <v>39</v>
      </c>
      <c r="D9" t="s">
        <v>40</v>
      </c>
      <c r="E9">
        <v>300</v>
      </c>
      <c r="F9" t="s">
        <v>41</v>
      </c>
      <c r="G9" t="s">
        <v>41</v>
      </c>
      <c r="H9">
        <v>0.2</v>
      </c>
      <c r="I9">
        <v>350</v>
      </c>
    </row>
    <row r="10" spans="1:9" ht="12.75" customHeight="1" x14ac:dyDescent="0.2">
      <c r="A10">
        <v>9</v>
      </c>
      <c r="B10" t="s">
        <v>38</v>
      </c>
      <c r="C10" t="s">
        <v>42</v>
      </c>
      <c r="D10" t="s">
        <v>43</v>
      </c>
      <c r="E10">
        <v>50</v>
      </c>
      <c r="F10" t="s">
        <v>41</v>
      </c>
      <c r="G10" t="s">
        <v>41</v>
      </c>
      <c r="H10">
        <v>0.2</v>
      </c>
      <c r="I10">
        <v>100</v>
      </c>
    </row>
    <row r="11" spans="1:9" ht="12.75" customHeight="1" x14ac:dyDescent="0.2">
      <c r="A11">
        <v>10</v>
      </c>
      <c r="B11" t="s">
        <v>38</v>
      </c>
      <c r="C11" t="s">
        <v>44</v>
      </c>
      <c r="D11" t="s">
        <v>45</v>
      </c>
      <c r="E11">
        <v>50</v>
      </c>
      <c r="F11" t="s">
        <v>41</v>
      </c>
      <c r="G11" t="s">
        <v>41</v>
      </c>
      <c r="H11">
        <v>0.2</v>
      </c>
      <c r="I11">
        <v>100</v>
      </c>
    </row>
    <row r="12" spans="1:9" ht="12.75" customHeight="1" x14ac:dyDescent="0.2">
      <c r="A12">
        <v>11</v>
      </c>
      <c r="B12" t="s">
        <v>38</v>
      </c>
      <c r="C12" t="s">
        <v>46</v>
      </c>
      <c r="D12" t="s">
        <v>47</v>
      </c>
      <c r="E12">
        <v>50</v>
      </c>
      <c r="F12" t="s">
        <v>41</v>
      </c>
      <c r="G12" t="s">
        <v>41</v>
      </c>
      <c r="H12">
        <v>0.2</v>
      </c>
      <c r="I12">
        <v>100</v>
      </c>
    </row>
    <row r="13" spans="1:9" ht="12.75" customHeight="1" x14ac:dyDescent="0.2">
      <c r="A13">
        <v>12</v>
      </c>
      <c r="B13" t="s">
        <v>48</v>
      </c>
      <c r="C13" t="s">
        <v>49</v>
      </c>
      <c r="D13" t="s">
        <v>50</v>
      </c>
      <c r="E13">
        <v>5000</v>
      </c>
      <c r="F13" t="s">
        <v>24</v>
      </c>
      <c r="G13" t="s">
        <v>24</v>
      </c>
      <c r="H13">
        <v>0.1</v>
      </c>
      <c r="I13">
        <v>100</v>
      </c>
    </row>
    <row r="14" spans="1:9" ht="12.75" customHeight="1" x14ac:dyDescent="0.2">
      <c r="A14">
        <v>13</v>
      </c>
      <c r="B14" t="s">
        <v>48</v>
      </c>
      <c r="C14" t="s">
        <v>51</v>
      </c>
      <c r="D14" t="s">
        <v>52</v>
      </c>
      <c r="E14">
        <v>5000</v>
      </c>
      <c r="F14" t="s">
        <v>41</v>
      </c>
      <c r="G14" t="s">
        <v>24</v>
      </c>
      <c r="H14">
        <v>0.1</v>
      </c>
      <c r="I14">
        <v>100</v>
      </c>
    </row>
    <row r="15" spans="1:9" ht="12.75" customHeight="1" x14ac:dyDescent="0.2">
      <c r="A15">
        <v>14</v>
      </c>
      <c r="B15" t="s">
        <v>48</v>
      </c>
      <c r="C15" t="s">
        <v>53</v>
      </c>
      <c r="D15" t="s">
        <v>54</v>
      </c>
      <c r="E15">
        <v>5000</v>
      </c>
      <c r="F15" t="s">
        <v>41</v>
      </c>
      <c r="G15" t="s">
        <v>24</v>
      </c>
      <c r="H15">
        <v>0.1</v>
      </c>
      <c r="I15">
        <v>100</v>
      </c>
    </row>
    <row r="16" spans="1:9" ht="12.75" customHeight="1" x14ac:dyDescent="0.2">
      <c r="A16">
        <v>15</v>
      </c>
      <c r="B16" t="s">
        <v>48</v>
      </c>
      <c r="C16" t="s">
        <v>55</v>
      </c>
      <c r="D16" t="s">
        <v>56</v>
      </c>
      <c r="E16">
        <v>5000</v>
      </c>
      <c r="F16" t="s">
        <v>41</v>
      </c>
      <c r="G16" t="s">
        <v>24</v>
      </c>
      <c r="H16">
        <v>0.1</v>
      </c>
      <c r="I16">
        <v>100</v>
      </c>
    </row>
    <row r="17" spans="1:9" ht="12.75" customHeight="1" x14ac:dyDescent="0.2">
      <c r="A17">
        <v>16</v>
      </c>
      <c r="B17" t="s">
        <v>57</v>
      </c>
      <c r="C17" t="s">
        <v>58</v>
      </c>
      <c r="D17" t="s">
        <v>59</v>
      </c>
      <c r="E17">
        <v>500</v>
      </c>
      <c r="F17" t="s">
        <v>41</v>
      </c>
      <c r="G17" t="s">
        <v>24</v>
      </c>
      <c r="H17">
        <v>0.3</v>
      </c>
      <c r="I17">
        <v>750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componenten</vt:lpstr>
      <vt:lpstr>faalmechanismen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Kapinga, Sander</cp:lastModifiedBy>
  <cp:revision>6</cp:revision>
  <dcterms:created xsi:type="dcterms:W3CDTF">2025-09-26T09:23:37Z</dcterms:created>
  <dcterms:modified xsi:type="dcterms:W3CDTF">2026-01-07T11:03:49Z</dcterms:modified>
  <dc:language>nl-NL</dc:language>
</cp:coreProperties>
</file>