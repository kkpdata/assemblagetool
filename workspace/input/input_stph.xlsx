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A\sources\github\assemblage\workspace\input\"/>
    </mc:Choice>
  </mc:AlternateContent>
  <xr:revisionPtr revIDLastSave="0" documentId="13_ncr:1_{7AD75CDA-AB2E-4A7B-8490-ECA92A75A9DC}" xr6:coauthVersionLast="47" xr6:coauthVersionMax="47" xr10:uidLastSave="{00000000-0000-0000-0000-000000000000}"/>
  <bookViews>
    <workbookView xWindow="-38520" yWindow="-120" windowWidth="38640" windowHeight="21120" tabRatio="500" activeTab="2" xr2:uid="{00000000-000D-0000-FFFF-FFFF00000000}"/>
  </bookViews>
  <sheets>
    <sheet name="componenten" sheetId="1" r:id="rId1"/>
    <sheet name="faalmechanismen" sheetId="2" r:id="rId2"/>
    <sheet name="ExportRiske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2" i="1"/>
  <c r="M3" i="3"/>
  <c r="M4" i="3"/>
  <c r="M5" i="3"/>
  <c r="M6" i="3"/>
  <c r="M7" i="3"/>
  <c r="M8" i="3"/>
  <c r="M14" i="3"/>
  <c r="M15" i="3"/>
  <c r="M16" i="3"/>
  <c r="M17" i="3"/>
  <c r="M18" i="3"/>
  <c r="M19" i="3"/>
  <c r="M20" i="3"/>
  <c r="M26" i="3"/>
  <c r="M27" i="3"/>
  <c r="M28" i="3"/>
  <c r="M29" i="3"/>
  <c r="M30" i="3"/>
  <c r="M31" i="3"/>
  <c r="M32" i="3"/>
  <c r="M38" i="3"/>
  <c r="M39" i="3"/>
  <c r="M40" i="3"/>
  <c r="M41" i="3"/>
  <c r="M42" i="3"/>
  <c r="M43" i="3"/>
  <c r="M44" i="3"/>
  <c r="M50" i="3"/>
  <c r="M51" i="3"/>
  <c r="M52" i="3"/>
  <c r="M53" i="3"/>
  <c r="M54" i="3"/>
  <c r="M55" i="3"/>
  <c r="M56" i="3"/>
  <c r="L3" i="3"/>
  <c r="L4" i="3"/>
  <c r="L5" i="3"/>
  <c r="L6" i="3"/>
  <c r="L7" i="3"/>
  <c r="L8" i="3"/>
  <c r="L9" i="3"/>
  <c r="L14" i="3"/>
  <c r="L15" i="3"/>
  <c r="L16" i="3"/>
  <c r="L17" i="3"/>
  <c r="L18" i="3"/>
  <c r="L19" i="3"/>
  <c r="L20" i="3"/>
  <c r="L21" i="3"/>
  <c r="L26" i="3"/>
  <c r="L27" i="3"/>
  <c r="L28" i="3"/>
  <c r="L29" i="3"/>
  <c r="L30" i="3"/>
  <c r="L31" i="3"/>
  <c r="L32" i="3"/>
  <c r="L33" i="3"/>
  <c r="L38" i="3"/>
  <c r="L39" i="3"/>
  <c r="L40" i="3"/>
  <c r="L41" i="3"/>
  <c r="L42" i="3"/>
  <c r="L43" i="3"/>
  <c r="L44" i="3"/>
  <c r="L45" i="3"/>
  <c r="L50" i="3"/>
  <c r="L51" i="3"/>
  <c r="L52" i="3"/>
  <c r="L53" i="3"/>
  <c r="L54" i="3"/>
  <c r="L55" i="3"/>
  <c r="L56" i="3"/>
  <c r="L57" i="3"/>
  <c r="K3" i="3"/>
  <c r="K4" i="3"/>
  <c r="K5" i="3"/>
  <c r="K6" i="3"/>
  <c r="K7" i="3"/>
  <c r="K8" i="3"/>
  <c r="K9" i="3"/>
  <c r="M9" i="3" s="1"/>
  <c r="K10" i="3"/>
  <c r="L10" i="3" s="1"/>
  <c r="K14" i="3"/>
  <c r="K15" i="3"/>
  <c r="K16" i="3"/>
  <c r="K17" i="3"/>
  <c r="K18" i="3"/>
  <c r="K19" i="3"/>
  <c r="K20" i="3"/>
  <c r="K21" i="3"/>
  <c r="M21" i="3" s="1"/>
  <c r="K22" i="3"/>
  <c r="L22" i="3" s="1"/>
  <c r="K26" i="3"/>
  <c r="K27" i="3"/>
  <c r="K28" i="3"/>
  <c r="K29" i="3"/>
  <c r="K30" i="3"/>
  <c r="K31" i="3"/>
  <c r="K32" i="3"/>
  <c r="K33" i="3"/>
  <c r="M33" i="3" s="1"/>
  <c r="K34" i="3"/>
  <c r="L34" i="3" s="1"/>
  <c r="K38" i="3"/>
  <c r="K39" i="3"/>
  <c r="K40" i="3"/>
  <c r="K41" i="3"/>
  <c r="K42" i="3"/>
  <c r="K43" i="3"/>
  <c r="K44" i="3"/>
  <c r="K45" i="3"/>
  <c r="M45" i="3" s="1"/>
  <c r="K46" i="3"/>
  <c r="L46" i="3" s="1"/>
  <c r="K50" i="3"/>
  <c r="K51" i="3"/>
  <c r="K52" i="3"/>
  <c r="K53" i="3"/>
  <c r="K54" i="3"/>
  <c r="K55" i="3"/>
  <c r="K56" i="3"/>
  <c r="K57" i="3"/>
  <c r="M57" i="3" s="1"/>
  <c r="K58" i="3"/>
  <c r="L58" i="3" s="1"/>
  <c r="J3" i="3"/>
  <c r="J4" i="3"/>
  <c r="J5" i="3"/>
  <c r="J6" i="3"/>
  <c r="J7" i="3"/>
  <c r="J8" i="3"/>
  <c r="J9" i="3"/>
  <c r="J10" i="3"/>
  <c r="J11" i="3"/>
  <c r="K11" i="3" s="1"/>
  <c r="J12" i="3"/>
  <c r="K12" i="3" s="1"/>
  <c r="J13" i="3"/>
  <c r="K13" i="3" s="1"/>
  <c r="J14" i="3"/>
  <c r="J15" i="3"/>
  <c r="J16" i="3"/>
  <c r="J17" i="3"/>
  <c r="J18" i="3"/>
  <c r="J19" i="3"/>
  <c r="J20" i="3"/>
  <c r="J21" i="3"/>
  <c r="J22" i="3"/>
  <c r="J23" i="3"/>
  <c r="K23" i="3" s="1"/>
  <c r="J24" i="3"/>
  <c r="K24" i="3" s="1"/>
  <c r="J25" i="3"/>
  <c r="K25" i="3" s="1"/>
  <c r="J26" i="3"/>
  <c r="J27" i="3"/>
  <c r="J28" i="3"/>
  <c r="J29" i="3"/>
  <c r="J30" i="3"/>
  <c r="J31" i="3"/>
  <c r="J32" i="3"/>
  <c r="J33" i="3"/>
  <c r="J34" i="3"/>
  <c r="J35" i="3"/>
  <c r="K35" i="3" s="1"/>
  <c r="J36" i="3"/>
  <c r="K36" i="3" s="1"/>
  <c r="J37" i="3"/>
  <c r="K37" i="3" s="1"/>
  <c r="J38" i="3"/>
  <c r="J39" i="3"/>
  <c r="J40" i="3"/>
  <c r="J41" i="3"/>
  <c r="J42" i="3"/>
  <c r="J43" i="3"/>
  <c r="J44" i="3"/>
  <c r="J45" i="3"/>
  <c r="J46" i="3"/>
  <c r="J47" i="3"/>
  <c r="K47" i="3" s="1"/>
  <c r="J48" i="3"/>
  <c r="K48" i="3" s="1"/>
  <c r="J49" i="3"/>
  <c r="K49" i="3" s="1"/>
  <c r="J50" i="3"/>
  <c r="J51" i="3"/>
  <c r="J52" i="3"/>
  <c r="J53" i="3"/>
  <c r="J54" i="3"/>
  <c r="J55" i="3"/>
  <c r="J56" i="3"/>
  <c r="J57" i="3"/>
  <c r="J58" i="3"/>
  <c r="J59" i="3"/>
  <c r="K59" i="3" s="1"/>
  <c r="J60" i="3"/>
  <c r="K60" i="3" s="1"/>
  <c r="J2" i="3"/>
  <c r="K2" i="3" s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L25" i="3" l="1"/>
  <c r="M25" i="3"/>
  <c r="L60" i="3"/>
  <c r="M60" i="3"/>
  <c r="M2" i="3"/>
  <c r="L2" i="3"/>
  <c r="M49" i="3"/>
  <c r="L49" i="3"/>
  <c r="L37" i="3"/>
  <c r="M37" i="3"/>
  <c r="M13" i="3"/>
  <c r="L13" i="3"/>
  <c r="L48" i="3"/>
  <c r="M48" i="3"/>
  <c r="L36" i="3"/>
  <c r="M36" i="3"/>
  <c r="L12" i="3"/>
  <c r="M12" i="3"/>
  <c r="L47" i="3"/>
  <c r="M47" i="3"/>
  <c r="L35" i="3"/>
  <c r="M35" i="3"/>
  <c r="L11" i="3"/>
  <c r="M11" i="3"/>
  <c r="L24" i="3"/>
  <c r="M24" i="3"/>
  <c r="L59" i="3"/>
  <c r="M59" i="3"/>
  <c r="L23" i="3"/>
  <c r="M23" i="3"/>
  <c r="M58" i="3"/>
  <c r="M46" i="3"/>
  <c r="M34" i="3"/>
  <c r="M22" i="3"/>
  <c r="M10" i="3"/>
  <c r="G6" i="1"/>
  <c r="G7" i="1"/>
  <c r="G8" i="1"/>
  <c r="G9" i="1"/>
  <c r="G10" i="1"/>
  <c r="G2" i="1"/>
  <c r="G3" i="1"/>
  <c r="G4" i="1"/>
  <c r="G5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M62" i="3" l="1"/>
  <c r="M63" i="3" s="1"/>
</calcChain>
</file>

<file path=xl/sharedStrings.xml><?xml version="1.0" encoding="utf-8"?>
<sst xmlns="http://schemas.openxmlformats.org/spreadsheetml/2006/main" count="528" uniqueCount="312">
  <si>
    <t>dijktraject</t>
  </si>
  <si>
    <t>m_van</t>
  </si>
  <si>
    <t>m_tot</t>
  </si>
  <si>
    <t>lengte</t>
  </si>
  <si>
    <t>Vaknaam</t>
  </si>
  <si>
    <t>id_initieel_mechanisme</t>
  </si>
  <si>
    <t>initieel_mechanisme</t>
  </si>
  <si>
    <t>a</t>
  </si>
  <si>
    <t>pf_dsn</t>
  </si>
  <si>
    <t>invloedsfactor_belasting</t>
  </si>
  <si>
    <t>dummy</t>
  </si>
  <si>
    <t>id</t>
  </si>
  <si>
    <t>Aanzet_tot_falen</t>
  </si>
  <si>
    <t>Initieel_mechanisme</t>
  </si>
  <si>
    <t>Afk_faalmechanisme</t>
  </si>
  <si>
    <t>delta_L</t>
  </si>
  <si>
    <t>type_assemblage_tussen_vakken</t>
  </si>
  <si>
    <t>type_assemblage_binnen_vak</t>
  </si>
  <si>
    <t>rho_nul_k</t>
  </si>
  <si>
    <t>d_k</t>
  </si>
  <si>
    <t>Golfaanval op het buitentalud</t>
  </si>
  <si>
    <t>Falen asfaltbekleding door golfklappen</t>
  </si>
  <si>
    <t>AGK</t>
  </si>
  <si>
    <t>MAX</t>
  </si>
  <si>
    <t>Falen asfaltbekleding door wateroverdruk</t>
  </si>
  <si>
    <t>AWO</t>
  </si>
  <si>
    <t>Erosie van grasbekleding</t>
  </si>
  <si>
    <t>GEBU</t>
  </si>
  <si>
    <t>Afschuiving van grasbekleding</t>
  </si>
  <si>
    <t>GABU</t>
  </si>
  <si>
    <t>Instabiliteit steenzetting</t>
  </si>
  <si>
    <t>ZST</t>
  </si>
  <si>
    <t>Water dat over de waterkering stroomt</t>
  </si>
  <si>
    <t>Afschuiven grasbekleding binnentalud</t>
  </si>
  <si>
    <t>GABI</t>
  </si>
  <si>
    <t>Erosie kruin en binnentalud</t>
  </si>
  <si>
    <t>GEKB</t>
  </si>
  <si>
    <t>Hoge waterspanningen in en onder de waterkering</t>
  </si>
  <si>
    <t>STPH</t>
  </si>
  <si>
    <t>SOM</t>
  </si>
  <si>
    <t>Binnenwaartse macro-instabiliteit</t>
  </si>
  <si>
    <t>STBI</t>
  </si>
  <si>
    <t>Micro-instabiliteit</t>
  </si>
  <si>
    <t>STMI</t>
  </si>
  <si>
    <t>Buitenwaartse macro-instabiliteit (indirect)</t>
  </si>
  <si>
    <t>STBU</t>
  </si>
  <si>
    <t>Waterkerend Kunstwerk faalt</t>
  </si>
  <si>
    <t>Hoogte kunstwerk</t>
  </si>
  <si>
    <t>HTKW</t>
  </si>
  <si>
    <t>Betrouwbaarheid sluiting Kunstwerk</t>
  </si>
  <si>
    <t>BSKW</t>
  </si>
  <si>
    <t>Piping bij kunstwerk</t>
  </si>
  <si>
    <t>STPHKW</t>
  </si>
  <si>
    <t>Sterkte en stabiliteit constructie</t>
  </si>
  <si>
    <t>STKW</t>
  </si>
  <si>
    <t>Zandige waterkering faalt</t>
  </si>
  <si>
    <t>Duinafslag</t>
  </si>
  <si>
    <t>DA</t>
  </si>
  <si>
    <t>0.00</t>
  </si>
  <si>
    <t>585.00</t>
  </si>
  <si>
    <t>1376.14</t>
  </si>
  <si>
    <t>1729.50</t>
  </si>
  <si>
    <t>2496.00</t>
  </si>
  <si>
    <t>2642.00</t>
  </si>
  <si>
    <t>2807.00</t>
  </si>
  <si>
    <t>3203.56</t>
  </si>
  <si>
    <t>3490.45</t>
  </si>
  <si>
    <t>4857.31</t>
  </si>
  <si>
    <t>5741.32</t>
  </si>
  <si>
    <t>6420.36</t>
  </si>
  <si>
    <t>7292.00</t>
  </si>
  <si>
    <t>7619.52</t>
  </si>
  <si>
    <t>7796.43</t>
  </si>
  <si>
    <t>8435.26</t>
  </si>
  <si>
    <t>8749.30</t>
  </si>
  <si>
    <t>9047.47</t>
  </si>
  <si>
    <t>9154.02</t>
  </si>
  <si>
    <t>9446.45</t>
  </si>
  <si>
    <t>9833.12</t>
  </si>
  <si>
    <t>9914.41</t>
  </si>
  <si>
    <t>10810.43</t>
  </si>
  <si>
    <t>10944.43</t>
  </si>
  <si>
    <t>11094.14</t>
  </si>
  <si>
    <t>11368.00</t>
  </si>
  <si>
    <t>11615.00</t>
  </si>
  <si>
    <t>11784.46</t>
  </si>
  <si>
    <t>11985.80</t>
  </si>
  <si>
    <t>12502.98</t>
  </si>
  <si>
    <t>13159.15</t>
  </si>
  <si>
    <t>13862.00</t>
  </si>
  <si>
    <t>14670.00</t>
  </si>
  <si>
    <t>15854.99</t>
  </si>
  <si>
    <t>16178.25</t>
  </si>
  <si>
    <t>16483.01</t>
  </si>
  <si>
    <t>17057.55</t>
  </si>
  <si>
    <t>17344.49</t>
  </si>
  <si>
    <t>17404.18</t>
  </si>
  <si>
    <t>18455.79</t>
  </si>
  <si>
    <t>18933.44</t>
  </si>
  <si>
    <t>19296.84</t>
  </si>
  <si>
    <t>19512.97</t>
  </si>
  <si>
    <t>20055.38</t>
  </si>
  <si>
    <t>20391.69</t>
  </si>
  <si>
    <t>20719.59</t>
  </si>
  <si>
    <t>20972.50</t>
  </si>
  <si>
    <t>21798.76</t>
  </si>
  <si>
    <t>22328.00</t>
  </si>
  <si>
    <t>23463.27</t>
  </si>
  <si>
    <t>24874.92</t>
  </si>
  <si>
    <t>25231.00</t>
  </si>
  <si>
    <t>25439.52</t>
  </si>
  <si>
    <t>25745.07</t>
  </si>
  <si>
    <t>26080.06</t>
  </si>
  <si>
    <t>27377.71</t>
  </si>
  <si>
    <t>27892.57</t>
  </si>
  <si>
    <t>28218.78</t>
  </si>
  <si>
    <t>28438.34</t>
  </si>
  <si>
    <t>28902.43</t>
  </si>
  <si>
    <t>1/1,124</t>
  </si>
  <si>
    <t>1/408</t>
  </si>
  <si>
    <t>1/1,075</t>
  </si>
  <si>
    <t>1/319</t>
  </si>
  <si>
    <t>1/2,033</t>
  </si>
  <si>
    <t>1/987</t>
  </si>
  <si>
    <t>1/1,081</t>
  </si>
  <si>
    <t>1/328</t>
  </si>
  <si>
    <t>1/20,080</t>
  </si>
  <si>
    <t>1/13,964</t>
  </si>
  <si>
    <t>1/113,895,216</t>
  </si>
  <si>
    <t>1/76,184,099</t>
  </si>
  <si>
    <t>1/1,510,574</t>
  </si>
  <si>
    <t>1/689,864</t>
  </si>
  <si>
    <t>1/129,870</t>
  </si>
  <si>
    <t>1/69,797</t>
  </si>
  <si>
    <t>1/145,985</t>
  </si>
  <si>
    <t>1/28,621</t>
  </si>
  <si>
    <t>1/478,469</t>
  </si>
  <si>
    <t>1/131,014</t>
  </si>
  <si>
    <t>1/2,770</t>
  </si>
  <si>
    <t>1/912</t>
  </si>
  <si>
    <t>1/14,692</t>
  </si>
  <si>
    <t>1/4,064</t>
  </si>
  <si>
    <t>1/23,095</t>
  </si>
  <si>
    <t>1/11,649</t>
  </si>
  <si>
    <t>1/8,547,008,547,008,550,000,000,000,000,000,000,000,000,000,000,000,000,000,000,000,000,000,000,000,000,000,000,000,000</t>
  </si>
  <si>
    <t>1/5,583,644,667,927,840,000,000,000,000,000,000,000,000,000,000,000,000,000,000,000,000,000,000,000,000,000,000,000,000</t>
  </si>
  <si>
    <t>1/1,002</t>
  </si>
  <si>
    <t>1/344</t>
  </si>
  <si>
    <t>1/84,034</t>
  </si>
  <si>
    <t>1/43,269</t>
  </si>
  <si>
    <t>1/1,426,534</t>
  </si>
  <si>
    <t>1/752,991</t>
  </si>
  <si>
    <t>1/122,100</t>
  </si>
  <si>
    <t>1/92,523</t>
  </si>
  <si>
    <t>1/3,048,780</t>
  </si>
  <si>
    <t>1/1,624,051</t>
  </si>
  <si>
    <t>1/806,452</t>
  </si>
  <si>
    <t>1/373,353</t>
  </si>
  <si>
    <t>1/5,154,639,175</t>
  </si>
  <si>
    <t>1/4,144,082,758</t>
  </si>
  <si>
    <t>1/209,643,605,870</t>
  </si>
  <si>
    <t>1/56,843,730,439</t>
  </si>
  <si>
    <t>1/181,488</t>
  </si>
  <si>
    <t>1/129,449</t>
  </si>
  <si>
    <t>1/10,857,763</t>
  </si>
  <si>
    <t>1/7,492,591</t>
  </si>
  <si>
    <t>1/25,575</t>
  </si>
  <si>
    <t>1/14,040</t>
  </si>
  <si>
    <t>1/36,765</t>
  </si>
  <si>
    <t>1/21,117</t>
  </si>
  <si>
    <t>1/30,960</t>
  </si>
  <si>
    <t>1/20,525</t>
  </si>
  <si>
    <t>1/8,475</t>
  </si>
  <si>
    <t>1/5,283</t>
  </si>
  <si>
    <t>1/216,450</t>
  </si>
  <si>
    <t>1/84,831</t>
  </si>
  <si>
    <t>1/302,115</t>
  </si>
  <si>
    <t>1/101,774</t>
  </si>
  <si>
    <t>1/151,745</t>
  </si>
  <si>
    <t>1/48,815</t>
  </si>
  <si>
    <t>1/11,000,000</t>
  </si>
  <si>
    <t>1/3,212,617</t>
  </si>
  <si>
    <t>1/6,494</t>
  </si>
  <si>
    <t>1/1,426</t>
  </si>
  <si>
    <t>1/1,620,746</t>
  </si>
  <si>
    <t>1/822,807</t>
  </si>
  <si>
    <t>1/568,182</t>
  </si>
  <si>
    <t>1/296,813</t>
  </si>
  <si>
    <t>1/43,859,649</t>
  </si>
  <si>
    <t>1/16,103,377</t>
  </si>
  <si>
    <t>1/38,168</t>
  </si>
  <si>
    <t>1/20,511</t>
  </si>
  <si>
    <t>1/117,096</t>
  </si>
  <si>
    <t>1/99,312</t>
  </si>
  <si>
    <t>1/840,336</t>
  </si>
  <si>
    <t>1/202,255</t>
  </si>
  <si>
    <t>1/383,142</t>
  </si>
  <si>
    <t>1/157,479</t>
  </si>
  <si>
    <t>1/30,120</t>
  </si>
  <si>
    <t>1/14,410</t>
  </si>
  <si>
    <t>1/531,914,894</t>
  </si>
  <si>
    <t>1/322,689,401</t>
  </si>
  <si>
    <t>1/12,224,939</t>
  </si>
  <si>
    <t>1/4,653,202</t>
  </si>
  <si>
    <t>1/4,807,692</t>
  </si>
  <si>
    <t>1/2,393,125</t>
  </si>
  <si>
    <t>1/416,667</t>
  </si>
  <si>
    <t>1/210,048</t>
  </si>
  <si>
    <t>1/10,460,251</t>
  </si>
  <si>
    <t>1/5,947,597</t>
  </si>
  <si>
    <t>1/11,350,738</t>
  </si>
  <si>
    <t>1/3,262,836</t>
  </si>
  <si>
    <t>1/10,845,987</t>
  </si>
  <si>
    <t>1/4,191,332</t>
  </si>
  <si>
    <t>1/13,661,202</t>
  </si>
  <si>
    <t>1/3,100,731</t>
  </si>
  <si>
    <t>1/256,410</t>
  </si>
  <si>
    <t>1/48,980</t>
  </si>
  <si>
    <t>1/126,903,553</t>
  </si>
  <si>
    <t>1/61,358,331</t>
  </si>
  <si>
    <t>1/500,000,000</t>
  </si>
  <si>
    <t>1/307,583,718</t>
  </si>
  <si>
    <t>1/111,358,575</t>
  </si>
  <si>
    <t>1/58,101,228</t>
  </si>
  <si>
    <t>1/591,715,976</t>
  </si>
  <si>
    <t>1/295,124,242</t>
  </si>
  <si>
    <t>1/163,398,693</t>
  </si>
  <si>
    <t>1/33,394,667</t>
  </si>
  <si>
    <t>1/27,322,404,372</t>
  </si>
  <si>
    <t>1/10,737,484,467</t>
  </si>
  <si>
    <t>1/3,215,434,083,601,290,000,000,000,000,000,000,000,000,000,000,000,000,000,000,000,000,000,000,000,000,000,000,000,000,000,000,000,000,000,000</t>
  </si>
  <si>
    <t>1/1,625,085,042,905,580,000,000,000,000,000,000,000,000,000,000,000,000,000,000,000,000,000,000,000,000,000,000,000,000,000,000,000,000,000,000</t>
  </si>
  <si>
    <t>1/32,786,885</t>
  </si>
  <si>
    <t>1/19,766,979</t>
  </si>
  <si>
    <t>1/387,596,899</t>
  </si>
  <si>
    <t>1/162,019,936</t>
  </si>
  <si>
    <t>Pf_dsn</t>
  </si>
  <si>
    <t>Pf_vak</t>
  </si>
  <si>
    <t>T_formule</t>
  </si>
  <si>
    <t>T_zonder_punten</t>
  </si>
  <si>
    <t>T_Pf_vak_controleKolomL</t>
  </si>
  <si>
    <t>1-Pf_vak</t>
  </si>
  <si>
    <t>Vak</t>
  </si>
  <si>
    <t>M_van</t>
  </si>
  <si>
    <t>M_tot</t>
  </si>
  <si>
    <t>Lengte</t>
  </si>
  <si>
    <t>N_vak</t>
  </si>
  <si>
    <t>Pf_dsn_fromT</t>
  </si>
  <si>
    <t>Pf_vak_fromT</t>
  </si>
  <si>
    <t>T_systeem</t>
  </si>
  <si>
    <t>Pf_systeem</t>
  </si>
  <si>
    <t>Vak 1</t>
  </si>
  <si>
    <t>Vak 2</t>
  </si>
  <si>
    <t>Vak 3</t>
  </si>
  <si>
    <t>Vak 4</t>
  </si>
  <si>
    <t>Vak 5</t>
  </si>
  <si>
    <t>Vak 6</t>
  </si>
  <si>
    <t>Vak 7</t>
  </si>
  <si>
    <t>Vak 8</t>
  </si>
  <si>
    <t>Vak 9</t>
  </si>
  <si>
    <t>Vak 10</t>
  </si>
  <si>
    <t>Vak 11</t>
  </si>
  <si>
    <t>Vak 12</t>
  </si>
  <si>
    <t>Vak 13</t>
  </si>
  <si>
    <t>Vak 14</t>
  </si>
  <si>
    <t>Vak 15</t>
  </si>
  <si>
    <t>Vak 16</t>
  </si>
  <si>
    <t>Vak 17</t>
  </si>
  <si>
    <t>Vak 18</t>
  </si>
  <si>
    <t>Vak 19</t>
  </si>
  <si>
    <t>Vak 20</t>
  </si>
  <si>
    <t>Vak 21</t>
  </si>
  <si>
    <t>Vak 22</t>
  </si>
  <si>
    <t>Vak 23</t>
  </si>
  <si>
    <t>Vak 24</t>
  </si>
  <si>
    <t>Vak 25</t>
  </si>
  <si>
    <t>Vak 26</t>
  </si>
  <si>
    <t>Vak 27</t>
  </si>
  <si>
    <t>Vak 28</t>
  </si>
  <si>
    <t>Vak 29</t>
  </si>
  <si>
    <t>Vak 30</t>
  </si>
  <si>
    <t>Vak 31</t>
  </si>
  <si>
    <t>Vak 32</t>
  </si>
  <si>
    <t>Vak 33</t>
  </si>
  <si>
    <t>Vak 34</t>
  </si>
  <si>
    <t>Vak 35</t>
  </si>
  <si>
    <t>Vak 36</t>
  </si>
  <si>
    <t>Vak 37</t>
  </si>
  <si>
    <t>Vak 38</t>
  </si>
  <si>
    <t>Vak 39</t>
  </si>
  <si>
    <t>Vak 40</t>
  </si>
  <si>
    <t>Vak 41</t>
  </si>
  <si>
    <t>Vak 42</t>
  </si>
  <si>
    <t>Vak 43</t>
  </si>
  <si>
    <t>Vak 44</t>
  </si>
  <si>
    <t>Vak 45</t>
  </si>
  <si>
    <t>Vak 46</t>
  </si>
  <si>
    <t>Vak 47</t>
  </si>
  <si>
    <t>Vak 48</t>
  </si>
  <si>
    <t>Vak 49</t>
  </si>
  <si>
    <t>Vak 50</t>
  </si>
  <si>
    <t>Vak 51</t>
  </si>
  <si>
    <t>Vak 52</t>
  </si>
  <si>
    <t>Vak 53</t>
  </si>
  <si>
    <t>Vak 54</t>
  </si>
  <si>
    <t>Vak 55</t>
  </si>
  <si>
    <t>Vak 56</t>
  </si>
  <si>
    <t>Vak 57</t>
  </si>
  <si>
    <t>Vak 58</t>
  </si>
  <si>
    <t>Vak 59</t>
  </si>
  <si>
    <t>Piping (opbarsten)</t>
  </si>
  <si>
    <t>N_vak_herberekening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</si>
</sst>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Standaard" xfId="0" builtinId="0"/>
  </cellStyles>
  <dxfs count="3">
    <dxf>
      <numFmt numFmtId="0" formatCode="General"/>
    </dxf>
    <dxf>
      <numFmt numFmtId="15" formatCode="0.00E+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62</xdr:row>
      <xdr:rowOff>0</xdr:rowOff>
    </xdr:from>
    <xdr:to>
      <xdr:col>6</xdr:col>
      <xdr:colOff>3000815</xdr:colOff>
      <xdr:row>65</xdr:row>
      <xdr:rowOff>85805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946C18B-0DF1-66C7-9D7E-22AFEB836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10039350"/>
          <a:ext cx="3153215" cy="5715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EFB09-9E88-4253-A8CA-93BA5174B62B}" name="Componenten" displayName="Componenten" ref="A1:J60" totalsRowShown="0">
  <autoFilter ref="A1:J60" xr:uid="{480EFB09-9E88-4253-A8CA-93BA5174B62B}"/>
  <tableColumns count="10">
    <tableColumn id="1" xr3:uid="{162D90D6-7897-4D94-BC3A-AFF49D1FE0BD}" name="dijktraject"/>
    <tableColumn id="2" xr3:uid="{E19D547F-1FBA-4F7C-873D-F95FE633D228}" name="m_van"/>
    <tableColumn id="3" xr3:uid="{F72D3950-2A3E-406E-94A8-F346FD633A35}" name="m_tot"/>
    <tableColumn id="4" xr3:uid="{F25C1817-9F13-43E7-908B-E688C21A84C3}" name="lengte"/>
    <tableColumn id="5" xr3:uid="{31FEC05D-4809-453F-A8FE-9E6F21E272CD}" name="Vaknaam"/>
    <tableColumn id="6" xr3:uid="{46F6751B-BC9F-4BAB-9052-0B087F9C73D8}" name="id_initieel_mechanisme"/>
    <tableColumn id="7" xr3:uid="{9F370C09-92F1-42B1-9433-A1497A6471FC}" name="initieel_mechanisme" dataDxfId="2">
      <calculatedColumnFormula>LOOKUP(Componenten[[#This Row],[id_initieel_mechanisme]],Faalmechanismen[id],Faalmechanismen[Initieel_mechanisme])</calculatedColumnFormula>
    </tableColumn>
    <tableColumn id="8" xr3:uid="{B417D874-26F1-47E6-ABD9-46857DF4E8F2}" name="a"/>
    <tableColumn id="9" xr3:uid="{34E089A3-EE47-46D1-9A0C-75E12EACE4FF}" name="pf_dsn"/>
    <tableColumn id="10" xr3:uid="{F36F6D30-93E5-4FA8-998D-FDC12F800AEB}" name="invloedsfactor_belasting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4CA82-43C6-494A-A3AA-2FD9168E715A}" name="Faalmechanismen" displayName="Faalmechanismen" ref="A1:I17" totalsRowShown="0">
  <autoFilter ref="A1:I17" xr:uid="{D074CA82-43C6-494A-A3AA-2FD9168E715A}"/>
  <tableColumns count="9">
    <tableColumn id="1" xr3:uid="{F4710955-CEBC-4546-B706-1283DEADC57A}" name="id"/>
    <tableColumn id="2" xr3:uid="{47B0ADF5-72B4-4D54-BBB8-D01F08EE383A}" name="Aanzet_tot_falen"/>
    <tableColumn id="3" xr3:uid="{EDBB43B1-BF57-4A45-BB5F-576F1A1F06C1}" name="Initieel_mechanisme"/>
    <tableColumn id="4" xr3:uid="{EA413605-A280-4D0E-AA0C-ED8A9E00A31B}" name="Afk_faalmechanisme"/>
    <tableColumn id="5" xr3:uid="{3F792EEE-AA7C-4D8C-AE16-BE880EDCE1F5}" name="delta_L"/>
    <tableColumn id="6" xr3:uid="{2318B872-457A-4853-8136-9D709AE20C52}" name="type_assemblage_tussen_vakken"/>
    <tableColumn id="7" xr3:uid="{FC126BAA-5C7E-4498-8C52-11FCD8DF105B}" name="type_assemblage_binnen_vak"/>
    <tableColumn id="8" xr3:uid="{028B55AD-82F4-483C-B3E7-896E90FC98E8}" name="rho_nul_k"/>
    <tableColumn id="9" xr3:uid="{5E88240E-D8FD-4072-A516-12730DEA8601}" name="d_k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9E946-5FC0-49BE-834A-DA6352B44EBE}" name="Tabel3" displayName="Tabel3" ref="A1:N60" totalsRowShown="0">
  <autoFilter ref="A1:N60" xr:uid="{B5F9E946-5FC0-49BE-834A-DA6352B44EBE}"/>
  <tableColumns count="14">
    <tableColumn id="1" xr3:uid="{B3DBFB05-1E88-4B2F-866C-53618A9FE8A9}" name="Vak"/>
    <tableColumn id="2" xr3:uid="{44272AFE-7A49-4804-AA8C-F5551DF9276B}" name="M_van"/>
    <tableColumn id="3" xr3:uid="{733F5F50-B0B2-4DB4-9F9D-732072090DB3}" name="M_tot"/>
    <tableColumn id="4" xr3:uid="{4EAC094C-66EC-48D0-85F1-449003C5684F}" name="Lengte"/>
    <tableColumn id="5" xr3:uid="{D554D980-2006-4A54-BD54-2124C961C45D}" name="N_vak"/>
    <tableColumn id="6" xr3:uid="{875D7D56-2FE2-4646-A053-CF62FF1B8ADE}" name="Pf_dsn"/>
    <tableColumn id="7" xr3:uid="{91EC1375-9DB7-4064-9CBC-B45E856EE4CD}" name="Pf_vak"/>
    <tableColumn id="8" xr3:uid="{51548ED7-28C9-4343-89AD-0FC4E7EA0574}" name="T_formule" dataDxfId="0">
      <calculatedColumnFormula>RIGHT(Tabel3[[#This Row],[Pf_dsn]],LEN(Tabel3[[#This Row],[Pf_dsn]])-2)</calculatedColumnFormula>
    </tableColumn>
    <tableColumn id="9" xr3:uid="{08640983-116C-4F0D-A46F-FC7C748EBB36}" name="T_zonder_punten"/>
    <tableColumn id="10" xr3:uid="{2034B64F-1363-4AFB-80F7-4CC49F934156}" name="Pf_dsn_fromT">
      <calculatedColumnFormula>1/Tabel3[[#This Row],[T_zonder_punten]]</calculatedColumnFormula>
    </tableColumn>
    <tableColumn id="11" xr3:uid="{EED3E931-58C4-4198-BEB7-288078124B68}" name="Pf_vak_fromT">
      <calculatedColumnFormula>Tabel3[[#This Row],[Pf_dsn_fromT]]*Tabel3[[#This Row],[N_vak]]</calculatedColumnFormula>
    </tableColumn>
    <tableColumn id="12" xr3:uid="{D60CE87D-28B9-4207-83A4-F89D732E56C8}" name="T_Pf_vak_controleKolomL">
      <calculatedColumnFormula>1/Tabel3[[#This Row],[Pf_vak_fromT]]</calculatedColumnFormula>
    </tableColumn>
    <tableColumn id="13" xr3:uid="{7F1D565A-F82C-47A1-82DA-487046ECB082}" name="1-Pf_vak">
      <calculatedColumnFormula>1-Tabel3[[#This Row],[Pf_vak_fromT]]</calculatedColumnFormula>
    </tableColumn>
    <tableColumn id="14" xr3:uid="{B3F05592-AE69-46D7-A08A-683AAFD77BA5}" name="N_vak_herberekening">
      <calculatedColumnFormula>MAX(1,1+0.9*Tabel3[[#This Row],[Lengte]]/300)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zoomScale="120" zoomScaleNormal="120" workbookViewId="0">
      <selection activeCell="P1" sqref="P1"/>
    </sheetView>
  </sheetViews>
  <sheetFormatPr defaultColWidth="11.5703125" defaultRowHeight="12.75" customHeight="1" x14ac:dyDescent="0.2"/>
  <cols>
    <col min="1" max="1" width="12.28515625" bestFit="1" customWidth="1"/>
    <col min="2" max="3" width="10.140625" bestFit="1" customWidth="1"/>
    <col min="4" max="4" width="9" bestFit="1" customWidth="1"/>
    <col min="5" max="5" width="15.28515625" bestFit="1" customWidth="1"/>
    <col min="6" max="6" width="25.28515625" bestFit="1" customWidth="1"/>
    <col min="7" max="7" width="31.140625" bestFit="1" customWidth="1"/>
    <col min="8" max="8" width="4.42578125" bestFit="1" customWidth="1"/>
    <col min="9" max="9" width="13.140625" bestFit="1" customWidth="1"/>
    <col min="10" max="10" width="25.7109375" bestFit="1" customWidth="1"/>
    <col min="12" max="12" width="3.28515625" bestFit="1" customWidth="1"/>
    <col min="13" max="13" width="11.28515625" bestFit="1" customWidth="1"/>
    <col min="14" max="15" width="6.42578125" bestFit="1" customWidth="1"/>
    <col min="16" max="16" width="12.85546875" bestFit="1" customWidth="1"/>
    <col min="17" max="17" width="13.140625" bestFit="1" customWidth="1"/>
  </cols>
  <sheetData>
    <row r="1" spans="1:10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2.75" customHeight="1" x14ac:dyDescent="0.2">
      <c r="A2" t="s">
        <v>10</v>
      </c>
      <c r="B2" s="2">
        <v>0</v>
      </c>
      <c r="C2" s="2">
        <v>585</v>
      </c>
      <c r="D2" s="2">
        <f>Componenten[[#This Row],[m_tot]]-Componenten[[#This Row],[m_van]]</f>
        <v>585</v>
      </c>
      <c r="E2" t="s">
        <v>251</v>
      </c>
      <c r="F2">
        <v>8</v>
      </c>
      <c r="G2" t="str">
        <f>LOOKUP(Componenten[[#This Row],[id_initieel_mechanisme]],Faalmechanismen[id],Faalmechanismen[Initieel_mechanisme])</f>
        <v>Piping (opbarsten)</v>
      </c>
      <c r="H2">
        <v>0.9</v>
      </c>
      <c r="I2" s="1">
        <v>8.8967971530249106E-4</v>
      </c>
      <c r="J2">
        <v>0.6</v>
      </c>
    </row>
    <row r="3" spans="1:10" ht="12.75" customHeight="1" x14ac:dyDescent="0.2">
      <c r="A3" t="s">
        <v>10</v>
      </c>
      <c r="B3" s="2">
        <v>585</v>
      </c>
      <c r="C3" s="2">
        <v>1376.14</v>
      </c>
      <c r="D3" s="2">
        <f>Componenten[[#This Row],[m_tot]]-Componenten[[#This Row],[m_van]]</f>
        <v>791.1400000000001</v>
      </c>
      <c r="E3" t="s">
        <v>252</v>
      </c>
      <c r="F3">
        <v>8</v>
      </c>
      <c r="G3" t="str">
        <f>LOOKUP(Componenten[[#This Row],[id_initieel_mechanisme]],Faalmechanismen[id],Faalmechanismen[Initieel_mechanisme])</f>
        <v>Piping (opbarsten)</v>
      </c>
      <c r="H3">
        <v>0.9</v>
      </c>
      <c r="I3" s="1">
        <v>9.3023255813953494E-4</v>
      </c>
      <c r="J3">
        <v>0.6</v>
      </c>
    </row>
    <row r="4" spans="1:10" ht="12.75" customHeight="1" x14ac:dyDescent="0.2">
      <c r="A4" t="s">
        <v>10</v>
      </c>
      <c r="B4" s="2">
        <v>1376.14</v>
      </c>
      <c r="C4" s="2">
        <v>1729.5</v>
      </c>
      <c r="D4" s="2">
        <f>Componenten[[#This Row],[m_tot]]-Componenten[[#This Row],[m_van]]</f>
        <v>353.3599999999999</v>
      </c>
      <c r="E4" t="s">
        <v>253</v>
      </c>
      <c r="F4">
        <v>8</v>
      </c>
      <c r="G4" t="str">
        <f>LOOKUP(Componenten[[#This Row],[id_initieel_mechanisme]],Faalmechanismen[id],Faalmechanismen[Initieel_mechanisme])</f>
        <v>Piping (opbarsten)</v>
      </c>
      <c r="H4">
        <v>0.9</v>
      </c>
      <c r="I4" s="1">
        <v>4.9188391539596653E-4</v>
      </c>
      <c r="J4">
        <v>0.6</v>
      </c>
    </row>
    <row r="5" spans="1:10" ht="12.75" customHeight="1" x14ac:dyDescent="0.2">
      <c r="A5" t="s">
        <v>10</v>
      </c>
      <c r="B5" s="2">
        <v>1729.5</v>
      </c>
      <c r="C5" s="2">
        <v>2496</v>
      </c>
      <c r="D5" s="2">
        <f>Componenten[[#This Row],[m_tot]]-Componenten[[#This Row],[m_van]]</f>
        <v>766.5</v>
      </c>
      <c r="E5" t="s">
        <v>254</v>
      </c>
      <c r="F5">
        <v>8</v>
      </c>
      <c r="G5" t="str">
        <f>LOOKUP(Componenten[[#This Row],[id_initieel_mechanisme]],Faalmechanismen[id],Faalmechanismen[Initieel_mechanisme])</f>
        <v>Piping (opbarsten)</v>
      </c>
      <c r="H5">
        <v>0.9</v>
      </c>
      <c r="I5" s="1">
        <v>9.2506938020351531E-4</v>
      </c>
      <c r="J5">
        <v>0.6</v>
      </c>
    </row>
    <row r="6" spans="1:10" ht="12.75" customHeight="1" x14ac:dyDescent="0.2">
      <c r="A6" t="s">
        <v>10</v>
      </c>
      <c r="B6" s="2">
        <v>2496</v>
      </c>
      <c r="C6" s="2">
        <v>2642</v>
      </c>
      <c r="D6" s="2">
        <f>Componenten[[#This Row],[m_tot]]-Componenten[[#This Row],[m_van]]</f>
        <v>146</v>
      </c>
      <c r="E6" t="s">
        <v>255</v>
      </c>
      <c r="F6">
        <v>8</v>
      </c>
      <c r="G6" t="str">
        <f>LOOKUP(Componenten[[#This Row],[id_initieel_mechanisme]],Faalmechanismen[id],Faalmechanismen[Initieel_mechanisme])</f>
        <v>Piping (opbarsten)</v>
      </c>
      <c r="H6">
        <v>0.9</v>
      </c>
      <c r="I6" s="1">
        <v>4.9800796812749006E-5</v>
      </c>
      <c r="J6">
        <v>0.6</v>
      </c>
    </row>
    <row r="7" spans="1:10" ht="12.75" customHeight="1" x14ac:dyDescent="0.2">
      <c r="A7" t="s">
        <v>10</v>
      </c>
      <c r="B7" s="2">
        <v>2642</v>
      </c>
      <c r="C7" s="2">
        <v>2807</v>
      </c>
      <c r="D7" s="2">
        <f>Componenten[[#This Row],[m_tot]]-Componenten[[#This Row],[m_van]]</f>
        <v>165</v>
      </c>
      <c r="E7" t="s">
        <v>256</v>
      </c>
      <c r="F7">
        <v>8</v>
      </c>
      <c r="G7" t="str">
        <f>LOOKUP(Componenten[[#This Row],[id_initieel_mechanisme]],Faalmechanismen[id],Faalmechanismen[Initieel_mechanisme])</f>
        <v>Piping (opbarsten)</v>
      </c>
      <c r="H7">
        <v>0.9</v>
      </c>
      <c r="I7" s="1">
        <v>8.7800000309056E-9</v>
      </c>
      <c r="J7">
        <v>0.6</v>
      </c>
    </row>
    <row r="8" spans="1:10" ht="12.75" customHeight="1" x14ac:dyDescent="0.2">
      <c r="A8" t="s">
        <v>10</v>
      </c>
      <c r="B8" s="2">
        <v>2807</v>
      </c>
      <c r="C8" s="2">
        <v>3203.56</v>
      </c>
      <c r="D8" s="2">
        <f>Componenten[[#This Row],[m_tot]]-Componenten[[#This Row],[m_van]]</f>
        <v>396.55999999999995</v>
      </c>
      <c r="E8" t="s">
        <v>257</v>
      </c>
      <c r="F8">
        <v>8</v>
      </c>
      <c r="G8" t="str">
        <f>LOOKUP(Componenten[[#This Row],[id_initieel_mechanisme]],Faalmechanismen[id],Faalmechanismen[Initieel_mechanisme])</f>
        <v>Piping (opbarsten)</v>
      </c>
      <c r="H8">
        <v>0.9</v>
      </c>
      <c r="I8" s="1">
        <v>6.6200000794400011E-7</v>
      </c>
      <c r="J8">
        <v>0.6</v>
      </c>
    </row>
    <row r="9" spans="1:10" ht="12.75" customHeight="1" x14ac:dyDescent="0.2">
      <c r="A9" t="s">
        <v>10</v>
      </c>
      <c r="B9" s="2">
        <v>3203.56</v>
      </c>
      <c r="C9" s="2">
        <v>3490.45</v>
      </c>
      <c r="D9" s="2">
        <f>Componenten[[#This Row],[m_tot]]-Componenten[[#This Row],[m_van]]</f>
        <v>286.88999999999987</v>
      </c>
      <c r="E9" t="s">
        <v>258</v>
      </c>
      <c r="F9">
        <v>8</v>
      </c>
      <c r="G9" t="str">
        <f>LOOKUP(Componenten[[#This Row],[id_initieel_mechanisme]],Faalmechanismen[id],Faalmechanismen[Initieel_mechanisme])</f>
        <v>Piping (opbarsten)</v>
      </c>
      <c r="H9">
        <v>0.9</v>
      </c>
      <c r="I9" s="1">
        <v>7.7000077000077007E-6</v>
      </c>
      <c r="J9">
        <v>0.6</v>
      </c>
    </row>
    <row r="10" spans="1:10" ht="12.75" customHeight="1" x14ac:dyDescent="0.2">
      <c r="A10" t="s">
        <v>10</v>
      </c>
      <c r="B10" s="2">
        <v>3490.45</v>
      </c>
      <c r="C10" s="2">
        <v>4857.3100000000004</v>
      </c>
      <c r="D10" s="2">
        <f>Componenten[[#This Row],[m_tot]]-Componenten[[#This Row],[m_van]]</f>
        <v>1366.8600000000006</v>
      </c>
      <c r="E10" t="s">
        <v>259</v>
      </c>
      <c r="F10">
        <v>8</v>
      </c>
      <c r="G10" t="str">
        <f>LOOKUP(Componenten[[#This Row],[id_initieel_mechanisme]],Faalmechanismen[id],Faalmechanismen[Initieel_mechanisme])</f>
        <v>Piping (opbarsten)</v>
      </c>
      <c r="H10">
        <v>0.9</v>
      </c>
      <c r="I10" s="1">
        <v>6.8500188375518031E-6</v>
      </c>
      <c r="J10">
        <v>0.6</v>
      </c>
    </row>
    <row r="11" spans="1:10" ht="12.75" customHeight="1" x14ac:dyDescent="0.2">
      <c r="A11" t="s">
        <v>10</v>
      </c>
      <c r="B11" s="2">
        <v>4857.3100000000004</v>
      </c>
      <c r="C11" s="2">
        <v>5741.32</v>
      </c>
      <c r="D11" s="2">
        <f>Componenten[[#This Row],[m_tot]]-Componenten[[#This Row],[m_van]]</f>
        <v>884.00999999999931</v>
      </c>
      <c r="E11" t="s">
        <v>260</v>
      </c>
      <c r="F11">
        <v>8</v>
      </c>
      <c r="G11" t="str">
        <f>LOOKUP(Componenten[[#This Row],[id_initieel_mechanisme]],Faalmechanismen[id],Faalmechanismen[Initieel_mechanisme])</f>
        <v>Piping (opbarsten)</v>
      </c>
      <c r="H11">
        <v>0.9</v>
      </c>
      <c r="I11">
        <v>2.0899995611000921E-6</v>
      </c>
      <c r="J11">
        <v>0.6</v>
      </c>
    </row>
    <row r="12" spans="1:10" ht="12.75" customHeight="1" x14ac:dyDescent="0.2">
      <c r="A12" t="s">
        <v>10</v>
      </c>
      <c r="B12" s="2">
        <v>5741.32</v>
      </c>
      <c r="C12" s="2">
        <v>6420.36</v>
      </c>
      <c r="D12" s="2">
        <f>Componenten[[#This Row],[m_tot]]-Componenten[[#This Row],[m_van]]</f>
        <v>679.04</v>
      </c>
      <c r="E12" t="s">
        <v>261</v>
      </c>
      <c r="F12">
        <v>8</v>
      </c>
      <c r="G12" t="str">
        <f>LOOKUP(Componenten[[#This Row],[id_initieel_mechanisme]],Faalmechanismen[id],Faalmechanismen[Initieel_mechanisme])</f>
        <v>Piping (opbarsten)</v>
      </c>
      <c r="H12">
        <v>0.9</v>
      </c>
      <c r="I12">
        <v>3.6101083032490973E-4</v>
      </c>
      <c r="J12">
        <v>0.6</v>
      </c>
    </row>
    <row r="13" spans="1:10" ht="12.75" customHeight="1" x14ac:dyDescent="0.2">
      <c r="A13" t="s">
        <v>10</v>
      </c>
      <c r="B13" s="2">
        <v>6420.36</v>
      </c>
      <c r="C13" s="2">
        <v>7292</v>
      </c>
      <c r="D13" s="2">
        <f>Componenten[[#This Row],[m_tot]]-Componenten[[#This Row],[m_van]]</f>
        <v>871.64000000000033</v>
      </c>
      <c r="E13" t="s">
        <v>262</v>
      </c>
      <c r="F13">
        <v>8</v>
      </c>
      <c r="G13" t="str">
        <f>LOOKUP(Componenten[[#This Row],[id_initieel_mechanisme]],Faalmechanismen[id],Faalmechanismen[Initieel_mechanisme])</f>
        <v>Piping (opbarsten)</v>
      </c>
      <c r="H13">
        <v>0.9</v>
      </c>
      <c r="I13">
        <v>6.8064252654505855E-5</v>
      </c>
      <c r="J13">
        <v>0.6</v>
      </c>
    </row>
    <row r="14" spans="1:10" ht="12.75" customHeight="1" x14ac:dyDescent="0.2">
      <c r="A14" t="s">
        <v>10</v>
      </c>
      <c r="B14" s="2">
        <v>7292</v>
      </c>
      <c r="C14" s="2">
        <v>7619.52</v>
      </c>
      <c r="D14" s="2">
        <f>Componenten[[#This Row],[m_tot]]-Componenten[[#This Row],[m_van]]</f>
        <v>327.52000000000044</v>
      </c>
      <c r="E14" t="s">
        <v>263</v>
      </c>
      <c r="F14">
        <v>8</v>
      </c>
      <c r="G14" t="str">
        <f>LOOKUP(Componenten[[#This Row],[id_initieel_mechanisme]],Faalmechanismen[id],Faalmechanismen[Initieel_mechanisme])</f>
        <v>Piping (opbarsten)</v>
      </c>
      <c r="H14">
        <v>0.9</v>
      </c>
      <c r="I14">
        <v>4.3299415457891315E-5</v>
      </c>
      <c r="J14">
        <v>0.6</v>
      </c>
    </row>
    <row r="15" spans="1:10" ht="12.75" customHeight="1" x14ac:dyDescent="0.2">
      <c r="A15" t="s">
        <v>10</v>
      </c>
      <c r="B15" s="2">
        <v>7619.52</v>
      </c>
      <c r="C15" s="2">
        <v>7796.43</v>
      </c>
      <c r="D15" s="2">
        <f>Componenten[[#This Row],[m_tot]]-Componenten[[#This Row],[m_van]]</f>
        <v>176.90999999999985</v>
      </c>
      <c r="E15" t="s">
        <v>264</v>
      </c>
      <c r="F15">
        <v>8</v>
      </c>
      <c r="G15" t="str">
        <f>LOOKUP(Componenten[[#This Row],[id_initieel_mechanisme]],Faalmechanismen[id],Faalmechanismen[Initieel_mechanisme])</f>
        <v>Piping (opbarsten)</v>
      </c>
      <c r="H15">
        <v>0.9</v>
      </c>
      <c r="I15">
        <v>1.1699999999999997E-88</v>
      </c>
      <c r="J15">
        <v>0.6</v>
      </c>
    </row>
    <row r="16" spans="1:10" ht="12.75" customHeight="1" x14ac:dyDescent="0.2">
      <c r="A16" t="s">
        <v>10</v>
      </c>
      <c r="B16" s="2">
        <v>7796.43</v>
      </c>
      <c r="C16" s="2">
        <v>8435.26</v>
      </c>
      <c r="D16" s="2">
        <f>Componenten[[#This Row],[m_tot]]-Componenten[[#This Row],[m_van]]</f>
        <v>638.82999999999993</v>
      </c>
      <c r="E16" t="s">
        <v>265</v>
      </c>
      <c r="F16">
        <v>8</v>
      </c>
      <c r="G16" t="str">
        <f>LOOKUP(Componenten[[#This Row],[id_initieel_mechanisme]],Faalmechanismen[id],Faalmechanismen[Initieel_mechanisme])</f>
        <v>Piping (opbarsten)</v>
      </c>
      <c r="H16">
        <v>0.9</v>
      </c>
      <c r="I16">
        <v>9.9800399201596798E-4</v>
      </c>
      <c r="J16">
        <v>0.6</v>
      </c>
    </row>
    <row r="17" spans="1:10" ht="12.75" customHeight="1" x14ac:dyDescent="0.2">
      <c r="A17" t="s">
        <v>10</v>
      </c>
      <c r="B17" s="2">
        <v>8435.26</v>
      </c>
      <c r="C17" s="2">
        <v>8749.2999999999993</v>
      </c>
      <c r="D17" s="2">
        <f>Componenten[[#This Row],[m_tot]]-Componenten[[#This Row],[m_van]]</f>
        <v>314.03999999999905</v>
      </c>
      <c r="E17" t="s">
        <v>266</v>
      </c>
      <c r="F17">
        <v>8</v>
      </c>
      <c r="G17" t="str">
        <f>LOOKUP(Componenten[[#This Row],[id_initieel_mechanisme]],Faalmechanismen[id],Faalmechanismen[Initieel_mechanisme])</f>
        <v>Piping (opbarsten)</v>
      </c>
      <c r="H17">
        <v>0.9</v>
      </c>
      <c r="I17">
        <v>1.1899945260251802E-5</v>
      </c>
      <c r="J17">
        <v>0.6</v>
      </c>
    </row>
    <row r="18" spans="1:10" ht="12.75" customHeight="1" x14ac:dyDescent="0.2">
      <c r="A18" t="s">
        <v>10</v>
      </c>
      <c r="B18" s="2">
        <v>8749.2999999999993</v>
      </c>
      <c r="C18" s="2">
        <v>9047.4699999999993</v>
      </c>
      <c r="D18" s="2">
        <f>Componenten[[#This Row],[m_tot]]-Componenten[[#This Row],[m_van]]</f>
        <v>298.17000000000007</v>
      </c>
      <c r="E18" t="s">
        <v>267</v>
      </c>
      <c r="F18">
        <v>8</v>
      </c>
      <c r="G18" t="str">
        <f>LOOKUP(Componenten[[#This Row],[id_initieel_mechanisme]],Faalmechanismen[id],Faalmechanismen[Initieel_mechanisme])</f>
        <v>Piping (opbarsten)</v>
      </c>
      <c r="H18">
        <v>0.9</v>
      </c>
      <c r="I18">
        <v>7.009997658660782E-7</v>
      </c>
      <c r="J18">
        <v>0.6</v>
      </c>
    </row>
    <row r="19" spans="1:10" ht="12.75" customHeight="1" x14ac:dyDescent="0.2">
      <c r="A19" t="s">
        <v>10</v>
      </c>
      <c r="B19" s="2">
        <v>9047.4699999999993</v>
      </c>
      <c r="C19" s="2">
        <v>9154.02</v>
      </c>
      <c r="D19" s="2">
        <f>Componenten[[#This Row],[m_tot]]-Componenten[[#This Row],[m_van]]</f>
        <v>106.55000000000109</v>
      </c>
      <c r="E19" t="s">
        <v>268</v>
      </c>
      <c r="F19">
        <v>8</v>
      </c>
      <c r="G19" t="str">
        <f>LOOKUP(Componenten[[#This Row],[id_initieel_mechanisme]],Faalmechanismen[id],Faalmechanismen[Initieel_mechanisme])</f>
        <v>Piping (opbarsten)</v>
      </c>
      <c r="H19">
        <v>0.9</v>
      </c>
      <c r="I19">
        <v>8.1900081900081906E-6</v>
      </c>
      <c r="J19">
        <v>0.6</v>
      </c>
    </row>
    <row r="20" spans="1:10" ht="12.75" customHeight="1" x14ac:dyDescent="0.2">
      <c r="A20" t="s">
        <v>10</v>
      </c>
      <c r="B20" s="2">
        <v>9154.02</v>
      </c>
      <c r="C20" s="2">
        <v>9446.4500000000007</v>
      </c>
      <c r="D20" s="2">
        <f>Componenten[[#This Row],[m_tot]]-Componenten[[#This Row],[m_van]]</f>
        <v>292.43000000000029</v>
      </c>
      <c r="E20" t="s">
        <v>269</v>
      </c>
      <c r="F20">
        <v>8</v>
      </c>
      <c r="G20" t="str">
        <f>LOOKUP(Componenten[[#This Row],[id_initieel_mechanisme]],Faalmechanismen[id],Faalmechanismen[Initieel_mechanisme])</f>
        <v>Piping (opbarsten)</v>
      </c>
      <c r="H20">
        <v>0.9</v>
      </c>
      <c r="I20">
        <v>3.2800005248000839E-7</v>
      </c>
      <c r="J20">
        <v>0.6</v>
      </c>
    </row>
    <row r="21" spans="1:10" ht="12.75" customHeight="1" x14ac:dyDescent="0.2">
      <c r="A21" t="s">
        <v>10</v>
      </c>
      <c r="B21" s="2">
        <v>9446.4500000000007</v>
      </c>
      <c r="C21" s="2">
        <v>9833.1200000000008</v>
      </c>
      <c r="D21" s="2">
        <f>Componenten[[#This Row],[m_tot]]-Componenten[[#This Row],[m_van]]</f>
        <v>386.67000000000007</v>
      </c>
      <c r="E21" t="s">
        <v>270</v>
      </c>
      <c r="F21">
        <v>8</v>
      </c>
      <c r="G21" t="str">
        <f>LOOKUP(Componenten[[#This Row],[id_initieel_mechanisme]],Faalmechanismen[id],Faalmechanismen[Initieel_mechanisme])</f>
        <v>Piping (opbarsten)</v>
      </c>
      <c r="H21">
        <v>0.9</v>
      </c>
      <c r="I21">
        <v>1.2399994048002858E-6</v>
      </c>
      <c r="J21">
        <v>0.6</v>
      </c>
    </row>
    <row r="22" spans="1:10" ht="12.75" customHeight="1" x14ac:dyDescent="0.2">
      <c r="A22" t="s">
        <v>10</v>
      </c>
      <c r="B22" s="2">
        <v>9833.1200000000008</v>
      </c>
      <c r="C22" s="2">
        <v>9914.41</v>
      </c>
      <c r="D22" s="2">
        <f>Componenten[[#This Row],[m_tot]]-Componenten[[#This Row],[m_van]]</f>
        <v>81.289999999999054</v>
      </c>
      <c r="E22" t="s">
        <v>271</v>
      </c>
      <c r="F22">
        <v>8</v>
      </c>
      <c r="G22" t="str">
        <f>LOOKUP(Componenten[[#This Row],[id_initieel_mechanisme]],Faalmechanismen[id],Faalmechanismen[Initieel_mechanisme])</f>
        <v>Piping (opbarsten)</v>
      </c>
      <c r="H22">
        <v>0.9</v>
      </c>
      <c r="I22">
        <v>1.9400000000969999E-10</v>
      </c>
      <c r="J22">
        <v>0.6</v>
      </c>
    </row>
    <row r="23" spans="1:10" ht="12.75" customHeight="1" x14ac:dyDescent="0.2">
      <c r="A23" t="s">
        <v>10</v>
      </c>
      <c r="B23" s="2">
        <v>9914.41</v>
      </c>
      <c r="C23" s="2">
        <v>10810.43</v>
      </c>
      <c r="D23" s="2">
        <f>Componenten[[#This Row],[m_tot]]-Componenten[[#This Row],[m_van]]</f>
        <v>896.02000000000044</v>
      </c>
      <c r="E23" t="s">
        <v>272</v>
      </c>
      <c r="F23">
        <v>8</v>
      </c>
      <c r="G23" t="str">
        <f>LOOKUP(Componenten[[#This Row],[id_initieel_mechanisme]],Faalmechanismen[id],Faalmechanismen[Initieel_mechanisme])</f>
        <v>Piping (opbarsten)</v>
      </c>
      <c r="H23">
        <v>0.9</v>
      </c>
      <c r="I23">
        <v>4.7700000000004767E-12</v>
      </c>
      <c r="J23">
        <v>0.6</v>
      </c>
    </row>
    <row r="24" spans="1:10" ht="12.75" customHeight="1" x14ac:dyDescent="0.2">
      <c r="A24" t="s">
        <v>10</v>
      </c>
      <c r="B24" s="2">
        <v>10810.43</v>
      </c>
      <c r="C24" s="2">
        <v>10944.43</v>
      </c>
      <c r="D24" s="2">
        <f>Componenten[[#This Row],[m_tot]]-Componenten[[#This Row],[m_van]]</f>
        <v>134</v>
      </c>
      <c r="E24" t="s">
        <v>273</v>
      </c>
      <c r="F24">
        <v>8</v>
      </c>
      <c r="G24" t="str">
        <f>LOOKUP(Componenten[[#This Row],[id_initieel_mechanisme]],Faalmechanismen[id],Faalmechanismen[Initieel_mechanisme])</f>
        <v>Piping (opbarsten)</v>
      </c>
      <c r="H24">
        <v>0.9</v>
      </c>
      <c r="I24">
        <v>5.5100061712069117E-6</v>
      </c>
      <c r="J24">
        <v>0.6</v>
      </c>
    </row>
    <row r="25" spans="1:10" ht="12.75" customHeight="1" x14ac:dyDescent="0.2">
      <c r="A25" t="s">
        <v>10</v>
      </c>
      <c r="B25" s="2">
        <v>10944.43</v>
      </c>
      <c r="C25" s="2">
        <v>11094.14</v>
      </c>
      <c r="D25" s="2">
        <f>Componenten[[#This Row],[m_tot]]-Componenten[[#This Row],[m_van]]</f>
        <v>149.70999999999913</v>
      </c>
      <c r="E25" t="s">
        <v>274</v>
      </c>
      <c r="F25">
        <v>8</v>
      </c>
      <c r="G25" t="str">
        <f>LOOKUP(Componenten[[#This Row],[id_initieel_mechanisme]],Faalmechanismen[id],Faalmechanismen[Initieel_mechanisme])</f>
        <v>Piping (opbarsten)</v>
      </c>
      <c r="H25">
        <v>0.9</v>
      </c>
      <c r="I25">
        <v>9.2100002551170074E-8</v>
      </c>
      <c r="J25">
        <v>0.6</v>
      </c>
    </row>
    <row r="26" spans="1:10" ht="12.75" customHeight="1" x14ac:dyDescent="0.2">
      <c r="A26" t="s">
        <v>10</v>
      </c>
      <c r="B26" s="2">
        <v>11094.14</v>
      </c>
      <c r="C26" s="2">
        <v>11368</v>
      </c>
      <c r="D26" s="2">
        <f>Componenten[[#This Row],[m_tot]]-Componenten[[#This Row],[m_van]]</f>
        <v>273.86000000000058</v>
      </c>
      <c r="E26" t="s">
        <v>275</v>
      </c>
      <c r="F26">
        <v>8</v>
      </c>
      <c r="G26" t="str">
        <f>LOOKUP(Componenten[[#This Row],[id_initieel_mechanisme]],Faalmechanismen[id],Faalmechanismen[Initieel_mechanisme])</f>
        <v>Piping (opbarsten)</v>
      </c>
      <c r="H26">
        <v>0.9</v>
      </c>
      <c r="I26">
        <v>3.9100684261974585E-5</v>
      </c>
      <c r="J26">
        <v>0.6</v>
      </c>
    </row>
    <row r="27" spans="1:10" ht="12.75" customHeight="1" x14ac:dyDescent="0.2">
      <c r="A27" t="s">
        <v>10</v>
      </c>
      <c r="B27" s="2">
        <v>11368</v>
      </c>
      <c r="C27" s="2">
        <v>11615</v>
      </c>
      <c r="D27" s="2">
        <f>Componenten[[#This Row],[m_tot]]-Componenten[[#This Row],[m_van]]</f>
        <v>247</v>
      </c>
      <c r="E27" t="s">
        <v>276</v>
      </c>
      <c r="F27">
        <v>8</v>
      </c>
      <c r="G27" t="str">
        <f>LOOKUP(Componenten[[#This Row],[id_initieel_mechanisme]],Faalmechanismen[id],Faalmechanismen[Initieel_mechanisme])</f>
        <v>Piping (opbarsten)</v>
      </c>
      <c r="H27">
        <v>0.9</v>
      </c>
      <c r="I27">
        <v>2.7199782401740785E-5</v>
      </c>
      <c r="J27">
        <v>0.6</v>
      </c>
    </row>
    <row r="28" spans="1:10" ht="12.75" customHeight="1" x14ac:dyDescent="0.2">
      <c r="A28" t="s">
        <v>10</v>
      </c>
      <c r="B28" s="2">
        <v>11615</v>
      </c>
      <c r="C28" s="2">
        <v>11784.46</v>
      </c>
      <c r="D28" s="2">
        <f>Componenten[[#This Row],[m_tot]]-Componenten[[#This Row],[m_van]]</f>
        <v>169.45999999999913</v>
      </c>
      <c r="E28" t="s">
        <v>277</v>
      </c>
      <c r="F28">
        <v>8</v>
      </c>
      <c r="G28" t="str">
        <f>LOOKUP(Componenten[[#This Row],[id_initieel_mechanisme]],Faalmechanismen[id],Faalmechanismen[Initieel_mechanisme])</f>
        <v>Piping (opbarsten)</v>
      </c>
      <c r="H28">
        <v>0.9</v>
      </c>
      <c r="I28">
        <v>3.2299741602067181E-5</v>
      </c>
      <c r="J28">
        <v>0.6</v>
      </c>
    </row>
    <row r="29" spans="1:10" ht="12.75" customHeight="1" x14ac:dyDescent="0.2">
      <c r="A29" t="s">
        <v>10</v>
      </c>
      <c r="B29" s="2">
        <v>11784.46</v>
      </c>
      <c r="C29" s="2">
        <v>11985.8</v>
      </c>
      <c r="D29" s="2">
        <f>Componenten[[#This Row],[m_tot]]-Componenten[[#This Row],[m_van]]</f>
        <v>201.34000000000015</v>
      </c>
      <c r="E29" t="s">
        <v>278</v>
      </c>
      <c r="F29">
        <v>8</v>
      </c>
      <c r="G29" t="str">
        <f>LOOKUP(Componenten[[#This Row],[id_initieel_mechanisme]],Faalmechanismen[id],Faalmechanismen[Initieel_mechanisme])</f>
        <v>Piping (opbarsten)</v>
      </c>
      <c r="H29">
        <v>0.9</v>
      </c>
      <c r="I29">
        <v>1.1799410029498526E-4</v>
      </c>
      <c r="J29">
        <v>0.6</v>
      </c>
    </row>
    <row r="30" spans="1:10" ht="12.75" customHeight="1" x14ac:dyDescent="0.2">
      <c r="A30" t="s">
        <v>10</v>
      </c>
      <c r="B30" s="2">
        <v>11985.8</v>
      </c>
      <c r="C30" s="2">
        <v>12502.98</v>
      </c>
      <c r="D30" s="2">
        <f>Componenten[[#This Row],[m_tot]]-Componenten[[#This Row],[m_van]]</f>
        <v>517.18000000000029</v>
      </c>
      <c r="E30" t="s">
        <v>279</v>
      </c>
      <c r="F30">
        <v>8</v>
      </c>
      <c r="G30" t="str">
        <f>LOOKUP(Componenten[[#This Row],[id_initieel_mechanisme]],Faalmechanismen[id],Faalmechanismen[Initieel_mechanisme])</f>
        <v>Piping (opbarsten)</v>
      </c>
      <c r="H30">
        <v>0.9</v>
      </c>
      <c r="I30">
        <v>4.6200046200046198E-6</v>
      </c>
      <c r="J30">
        <v>0.6</v>
      </c>
    </row>
    <row r="31" spans="1:10" ht="12.75" customHeight="1" x14ac:dyDescent="0.2">
      <c r="A31" t="s">
        <v>10</v>
      </c>
      <c r="B31" s="2">
        <v>12502.98</v>
      </c>
      <c r="C31" s="2">
        <v>13159.15</v>
      </c>
      <c r="D31" s="2">
        <f>Componenten[[#This Row],[m_tot]]-Componenten[[#This Row],[m_van]]</f>
        <v>656.17000000000007</v>
      </c>
      <c r="E31" t="s">
        <v>280</v>
      </c>
      <c r="F31">
        <v>8</v>
      </c>
      <c r="G31" t="str">
        <f>LOOKUP(Componenten[[#This Row],[id_initieel_mechanisme]],Faalmechanismen[id],Faalmechanismen[Initieel_mechanisme])</f>
        <v>Piping (opbarsten)</v>
      </c>
      <c r="H31">
        <v>0.9</v>
      </c>
      <c r="I31">
        <v>3.3099978485013985E-6</v>
      </c>
      <c r="J31">
        <v>0.6</v>
      </c>
    </row>
    <row r="32" spans="1:10" ht="12.75" customHeight="1" x14ac:dyDescent="0.2">
      <c r="A32" t="s">
        <v>10</v>
      </c>
      <c r="B32" s="2">
        <v>13159.15</v>
      </c>
      <c r="C32" s="2">
        <v>13862</v>
      </c>
      <c r="D32" s="2">
        <f>Componenten[[#This Row],[m_tot]]-Componenten[[#This Row],[m_van]]</f>
        <v>702.85000000000036</v>
      </c>
      <c r="E32" t="s">
        <v>281</v>
      </c>
      <c r="F32">
        <v>8</v>
      </c>
      <c r="G32" t="str">
        <f>LOOKUP(Componenten[[#This Row],[id_initieel_mechanisme]],Faalmechanismen[id],Faalmechanismen[Initieel_mechanisme])</f>
        <v>Piping (opbarsten)</v>
      </c>
      <c r="H32">
        <v>0.9</v>
      </c>
      <c r="I32">
        <v>6.5900029655013343E-6</v>
      </c>
      <c r="J32">
        <v>0.6</v>
      </c>
    </row>
    <row r="33" spans="1:10" ht="12.75" customHeight="1" x14ac:dyDescent="0.2">
      <c r="A33" t="s">
        <v>10</v>
      </c>
      <c r="B33" s="2">
        <v>13862</v>
      </c>
      <c r="C33" s="2">
        <v>14670</v>
      </c>
      <c r="D33" s="2">
        <f>Componenten[[#This Row],[m_tot]]-Componenten[[#This Row],[m_van]]</f>
        <v>808</v>
      </c>
      <c r="E33" t="s">
        <v>282</v>
      </c>
      <c r="F33">
        <v>8</v>
      </c>
      <c r="G33" t="str">
        <f>LOOKUP(Componenten[[#This Row],[id_initieel_mechanisme]],Faalmechanismen[id],Faalmechanismen[Initieel_mechanisme])</f>
        <v>Piping (opbarsten)</v>
      </c>
      <c r="H33">
        <v>0.9</v>
      </c>
      <c r="I33">
        <v>9.0909090909090915E-8</v>
      </c>
      <c r="J33">
        <v>0.6</v>
      </c>
    </row>
    <row r="34" spans="1:10" ht="12.75" customHeight="1" x14ac:dyDescent="0.2">
      <c r="A34" t="s">
        <v>10</v>
      </c>
      <c r="B34" s="2">
        <v>14670</v>
      </c>
      <c r="C34" s="2">
        <v>15854.99</v>
      </c>
      <c r="D34" s="2">
        <f>Componenten[[#This Row],[m_tot]]-Componenten[[#This Row],[m_van]]</f>
        <v>1184.9899999999998</v>
      </c>
      <c r="E34" t="s">
        <v>283</v>
      </c>
      <c r="F34">
        <v>8</v>
      </c>
      <c r="G34" t="str">
        <f>LOOKUP(Componenten[[#This Row],[id_initieel_mechanisme]],Faalmechanismen[id],Faalmechanismen[Initieel_mechanisme])</f>
        <v>Piping (opbarsten)</v>
      </c>
      <c r="H34">
        <v>0.9</v>
      </c>
      <c r="I34">
        <v>1.5398829688943641E-4</v>
      </c>
      <c r="J34">
        <v>0.6</v>
      </c>
    </row>
    <row r="35" spans="1:10" ht="12.75" customHeight="1" x14ac:dyDescent="0.2">
      <c r="A35" t="s">
        <v>10</v>
      </c>
      <c r="B35" s="2">
        <v>15854.99</v>
      </c>
      <c r="C35" s="2">
        <v>16178.25</v>
      </c>
      <c r="D35" s="2">
        <f>Componenten[[#This Row],[m_tot]]-Componenten[[#This Row],[m_van]]</f>
        <v>323.26000000000022</v>
      </c>
      <c r="E35" t="s">
        <v>284</v>
      </c>
      <c r="F35">
        <v>8</v>
      </c>
      <c r="G35" t="str">
        <f>LOOKUP(Componenten[[#This Row],[id_initieel_mechanisme]],Faalmechanismen[id],Faalmechanismen[Initieel_mechanisme])</f>
        <v>Piping (opbarsten)</v>
      </c>
      <c r="H35">
        <v>0.9</v>
      </c>
      <c r="I35">
        <v>6.1699982600604907E-7</v>
      </c>
      <c r="J35">
        <v>0.6</v>
      </c>
    </row>
    <row r="36" spans="1:10" ht="12.75" customHeight="1" x14ac:dyDescent="0.2">
      <c r="A36" t="s">
        <v>10</v>
      </c>
      <c r="B36" s="2">
        <v>16178.25</v>
      </c>
      <c r="C36" s="2">
        <v>16483.009999999998</v>
      </c>
      <c r="D36" s="2">
        <f>Componenten[[#This Row],[m_tot]]-Componenten[[#This Row],[m_van]]</f>
        <v>304.7599999999984</v>
      </c>
      <c r="E36" t="s">
        <v>285</v>
      </c>
      <c r="F36">
        <v>8</v>
      </c>
      <c r="G36" t="str">
        <f>LOOKUP(Componenten[[#This Row],[id_initieel_mechanisme]],Faalmechanismen[id],Faalmechanismen[Initieel_mechanisme])</f>
        <v>Piping (opbarsten)</v>
      </c>
      <c r="H36">
        <v>0.9</v>
      </c>
      <c r="I36">
        <v>1.7599994368001803E-6</v>
      </c>
      <c r="J36">
        <v>0.6</v>
      </c>
    </row>
    <row r="37" spans="1:10" ht="12.75" customHeight="1" x14ac:dyDescent="0.2">
      <c r="A37" t="s">
        <v>10</v>
      </c>
      <c r="B37" s="2">
        <v>16483.009999999998</v>
      </c>
      <c r="C37" s="2">
        <v>17057.55</v>
      </c>
      <c r="D37" s="2">
        <f>Componenten[[#This Row],[m_tot]]-Componenten[[#This Row],[m_van]]</f>
        <v>574.54000000000087</v>
      </c>
      <c r="E37" t="s">
        <v>286</v>
      </c>
      <c r="F37">
        <v>8</v>
      </c>
      <c r="G37" t="str">
        <f>LOOKUP(Componenten[[#This Row],[id_initieel_mechanisme]],Faalmechanismen[id],Faalmechanismen[Initieel_mechanisme])</f>
        <v>Piping (opbarsten)</v>
      </c>
      <c r="H37">
        <v>0.9</v>
      </c>
      <c r="I37">
        <v>2.2800000063839999E-8</v>
      </c>
      <c r="J37">
        <v>0.6</v>
      </c>
    </row>
    <row r="38" spans="1:10" ht="12.75" customHeight="1" x14ac:dyDescent="0.2">
      <c r="A38" t="s">
        <v>10</v>
      </c>
      <c r="B38" s="2">
        <v>17057.55</v>
      </c>
      <c r="C38" s="2">
        <v>17344.490000000002</v>
      </c>
      <c r="D38" s="2">
        <f>Componenten[[#This Row],[m_tot]]-Componenten[[#This Row],[m_van]]</f>
        <v>286.94000000000233</v>
      </c>
      <c r="E38" t="s">
        <v>287</v>
      </c>
      <c r="F38">
        <v>8</v>
      </c>
      <c r="G38" t="str">
        <f>LOOKUP(Componenten[[#This Row],[id_initieel_mechanisme]],Faalmechanismen[id],Faalmechanismen[Initieel_mechanisme])</f>
        <v>Piping (opbarsten)</v>
      </c>
      <c r="H38">
        <v>0.9</v>
      </c>
      <c r="I38">
        <v>2.6199958080067072E-5</v>
      </c>
      <c r="J38">
        <v>0.6</v>
      </c>
    </row>
    <row r="39" spans="1:10" ht="12.75" customHeight="1" x14ac:dyDescent="0.2">
      <c r="A39" t="s">
        <v>10</v>
      </c>
      <c r="B39" s="2">
        <v>17344.490000000002</v>
      </c>
      <c r="C39" s="2">
        <v>17404.18</v>
      </c>
      <c r="D39" s="2">
        <f>Componenten[[#This Row],[m_tot]]-Componenten[[#This Row],[m_van]]</f>
        <v>59.68999999999869</v>
      </c>
      <c r="E39" t="s">
        <v>288</v>
      </c>
      <c r="F39">
        <v>8</v>
      </c>
      <c r="G39" t="str">
        <f>LOOKUP(Componenten[[#This Row],[id_initieel_mechanisme]],Faalmechanismen[id],Faalmechanismen[Initieel_mechanisme])</f>
        <v>Piping (opbarsten)</v>
      </c>
      <c r="H39">
        <v>0.9</v>
      </c>
      <c r="I39">
        <v>8.5400013664002193E-6</v>
      </c>
      <c r="J39">
        <v>0.6</v>
      </c>
    </row>
    <row r="40" spans="1:10" ht="12.75" customHeight="1" x14ac:dyDescent="0.2">
      <c r="A40" t="s">
        <v>10</v>
      </c>
      <c r="B40" s="2">
        <v>17404.18</v>
      </c>
      <c r="C40" s="2">
        <v>18455.79</v>
      </c>
      <c r="D40" s="2">
        <f>Componenten[[#This Row],[m_tot]]-Componenten[[#This Row],[m_van]]</f>
        <v>1051.6100000000006</v>
      </c>
      <c r="E40" t="s">
        <v>289</v>
      </c>
      <c r="F40">
        <v>8</v>
      </c>
      <c r="G40" t="str">
        <f>LOOKUP(Componenten[[#This Row],[id_initieel_mechanisme]],Faalmechanismen[id],Faalmechanismen[Initieel_mechanisme])</f>
        <v>Piping (opbarsten)</v>
      </c>
      <c r="H40">
        <v>0.9</v>
      </c>
      <c r="I40">
        <v>1.1900001904000305E-6</v>
      </c>
      <c r="J40">
        <v>0.6</v>
      </c>
    </row>
    <row r="41" spans="1:10" ht="12.75" customHeight="1" x14ac:dyDescent="0.2">
      <c r="A41" t="s">
        <v>10</v>
      </c>
      <c r="B41" s="2">
        <v>18455.79</v>
      </c>
      <c r="C41" s="2">
        <v>18933.439999999999</v>
      </c>
      <c r="D41" s="2">
        <f>Componenten[[#This Row],[m_tot]]-Componenten[[#This Row],[m_van]]</f>
        <v>477.64999999999782</v>
      </c>
      <c r="E41" t="s">
        <v>290</v>
      </c>
      <c r="F41">
        <v>8</v>
      </c>
      <c r="G41" t="str">
        <f>LOOKUP(Componenten[[#This Row],[id_initieel_mechanisme]],Faalmechanismen[id],Faalmechanismen[Initieel_mechanisme])</f>
        <v>Piping (opbarsten)</v>
      </c>
      <c r="H41">
        <v>0.9</v>
      </c>
      <c r="I41">
        <v>2.6099983818010034E-6</v>
      </c>
      <c r="J41">
        <v>0.6</v>
      </c>
    </row>
    <row r="42" spans="1:10" ht="12.75" customHeight="1" x14ac:dyDescent="0.2">
      <c r="A42" t="s">
        <v>10</v>
      </c>
      <c r="B42" s="2">
        <v>18933.439999999999</v>
      </c>
      <c r="C42" s="2">
        <v>19296.84</v>
      </c>
      <c r="D42" s="2">
        <f>Componenten[[#This Row],[m_tot]]-Componenten[[#This Row],[m_van]]</f>
        <v>363.40000000000146</v>
      </c>
      <c r="E42" t="s">
        <v>291</v>
      </c>
      <c r="F42">
        <v>8</v>
      </c>
      <c r="G42" t="str">
        <f>LOOKUP(Componenten[[#This Row],[id_initieel_mechanisme]],Faalmechanismen[id],Faalmechanismen[Initieel_mechanisme])</f>
        <v>Piping (opbarsten)</v>
      </c>
      <c r="H42">
        <v>0.9</v>
      </c>
      <c r="I42">
        <v>3.3200531208499335E-5</v>
      </c>
      <c r="J42">
        <v>0.6</v>
      </c>
    </row>
    <row r="43" spans="1:10" ht="12.75" customHeight="1" x14ac:dyDescent="0.2">
      <c r="A43" t="s">
        <v>10</v>
      </c>
      <c r="B43" s="2">
        <v>19296.84</v>
      </c>
      <c r="C43" s="2">
        <v>19512.97</v>
      </c>
      <c r="D43" s="2">
        <f>Componenten[[#This Row],[m_tot]]-Componenten[[#This Row],[m_van]]</f>
        <v>216.13000000000102</v>
      </c>
      <c r="E43" t="s">
        <v>292</v>
      </c>
      <c r="F43">
        <v>8</v>
      </c>
      <c r="G43" t="str">
        <f>LOOKUP(Componenten[[#This Row],[id_initieel_mechanisme]],Faalmechanismen[id],Faalmechanismen[Initieel_mechanisme])</f>
        <v>Piping (opbarsten)</v>
      </c>
      <c r="H43">
        <v>0.9</v>
      </c>
      <c r="I43">
        <v>1.8799999986464001E-9</v>
      </c>
      <c r="J43">
        <v>0.6</v>
      </c>
    </row>
    <row r="44" spans="1:10" ht="12.75" customHeight="1" x14ac:dyDescent="0.2">
      <c r="A44" t="s">
        <v>10</v>
      </c>
      <c r="B44" s="2">
        <v>19512.97</v>
      </c>
      <c r="C44" s="2">
        <v>20055.38</v>
      </c>
      <c r="D44" s="2">
        <f>Componenten[[#This Row],[m_tot]]-Componenten[[#This Row],[m_van]]</f>
        <v>542.40999999999985</v>
      </c>
      <c r="E44" t="s">
        <v>293</v>
      </c>
      <c r="F44">
        <v>8</v>
      </c>
      <c r="G44" t="str">
        <f>LOOKUP(Componenten[[#This Row],[id_initieel_mechanisme]],Faalmechanismen[id],Faalmechanismen[Initieel_mechanisme])</f>
        <v>Piping (opbarsten)</v>
      </c>
      <c r="H44">
        <v>0.9</v>
      </c>
      <c r="I44">
        <v>8.1799999165640007E-8</v>
      </c>
      <c r="J44">
        <v>0.6</v>
      </c>
    </row>
    <row r="45" spans="1:10" ht="12.75" customHeight="1" x14ac:dyDescent="0.2">
      <c r="A45" t="s">
        <v>10</v>
      </c>
      <c r="B45" s="2">
        <v>20055.38</v>
      </c>
      <c r="C45" s="2">
        <v>20391.689999999999</v>
      </c>
      <c r="D45" s="2">
        <f>Componenten[[#This Row],[m_tot]]-Componenten[[#This Row],[m_van]]</f>
        <v>336.30999999999767</v>
      </c>
      <c r="E45" t="s">
        <v>294</v>
      </c>
      <c r="F45">
        <v>8</v>
      </c>
      <c r="G45" t="str">
        <f>LOOKUP(Componenten[[#This Row],[id_initieel_mechanisme]],Faalmechanismen[id],Faalmechanismen[Initieel_mechanisme])</f>
        <v>Piping (opbarsten)</v>
      </c>
      <c r="H45">
        <v>0.9</v>
      </c>
      <c r="I45">
        <v>2.0800001331200086E-7</v>
      </c>
      <c r="J45">
        <v>0.6</v>
      </c>
    </row>
    <row r="46" spans="1:10" ht="12.75" customHeight="1" x14ac:dyDescent="0.2">
      <c r="A46" t="s">
        <v>10</v>
      </c>
      <c r="B46" s="2">
        <v>20391.689999999999</v>
      </c>
      <c r="C46" s="2">
        <v>20719.59</v>
      </c>
      <c r="D46" s="2">
        <f>Componenten[[#This Row],[m_tot]]-Componenten[[#This Row],[m_van]]</f>
        <v>327.90000000000146</v>
      </c>
      <c r="E46" t="s">
        <v>295</v>
      </c>
      <c r="F46">
        <v>8</v>
      </c>
      <c r="G46" t="str">
        <f>LOOKUP(Componenten[[#This Row],[id_initieel_mechanisme]],Faalmechanismen[id],Faalmechanismen[Initieel_mechanisme])</f>
        <v>Piping (opbarsten)</v>
      </c>
      <c r="H46">
        <v>0.9</v>
      </c>
      <c r="I46">
        <v>2.3999980800015358E-6</v>
      </c>
      <c r="J46">
        <v>0.6</v>
      </c>
    </row>
    <row r="47" spans="1:10" x14ac:dyDescent="0.2">
      <c r="A47" t="s">
        <v>10</v>
      </c>
      <c r="B47" s="2">
        <v>20719.59</v>
      </c>
      <c r="C47" s="2">
        <v>20972.5</v>
      </c>
      <c r="D47" s="2">
        <f>Componenten[[#This Row],[m_tot]]-Componenten[[#This Row],[m_van]]</f>
        <v>252.90999999999985</v>
      </c>
      <c r="E47" t="s">
        <v>296</v>
      </c>
      <c r="F47">
        <v>8</v>
      </c>
      <c r="G47" t="str">
        <f>LOOKUP(Componenten[[#This Row],[id_initieel_mechanisme]],Faalmechanismen[id],Faalmechanismen[Initieel_mechanisme])</f>
        <v>Piping (opbarsten)</v>
      </c>
      <c r="H47">
        <v>0.9</v>
      </c>
      <c r="I47">
        <v>9.5600000420639998E-8</v>
      </c>
      <c r="J47">
        <v>0.6</v>
      </c>
    </row>
    <row r="48" spans="1:10" x14ac:dyDescent="0.2">
      <c r="A48" t="s">
        <v>10</v>
      </c>
      <c r="B48" s="2">
        <v>20972.5</v>
      </c>
      <c r="C48" s="2">
        <v>21798.76</v>
      </c>
      <c r="D48" s="2">
        <f>Componenten[[#This Row],[m_tot]]-Componenten[[#This Row],[m_van]]</f>
        <v>826.2599999999984</v>
      </c>
      <c r="E48" t="s">
        <v>297</v>
      </c>
      <c r="F48">
        <v>8</v>
      </c>
      <c r="G48" t="str">
        <f>LOOKUP(Componenten[[#This Row],[id_initieel_mechanisme]],Faalmechanismen[id],Faalmechanismen[Initieel_mechanisme])</f>
        <v>Piping (opbarsten)</v>
      </c>
      <c r="H48">
        <v>0.9</v>
      </c>
      <c r="I48">
        <v>8.8099998431820024E-8</v>
      </c>
      <c r="J48">
        <v>0.6</v>
      </c>
    </row>
    <row r="49" spans="1:10" x14ac:dyDescent="0.2">
      <c r="A49" t="s">
        <v>10</v>
      </c>
      <c r="B49" s="2">
        <v>21798.76</v>
      </c>
      <c r="C49" s="2">
        <v>22328</v>
      </c>
      <c r="D49" s="2">
        <f>Componenten[[#This Row],[m_tot]]-Componenten[[#This Row],[m_van]]</f>
        <v>529.2400000000016</v>
      </c>
      <c r="E49" t="s">
        <v>298</v>
      </c>
      <c r="F49">
        <v>8</v>
      </c>
      <c r="G49" t="str">
        <f>LOOKUP(Componenten[[#This Row],[id_initieel_mechanisme]],Faalmechanismen[id],Faalmechanismen[Initieel_mechanisme])</f>
        <v>Piping (opbarsten)</v>
      </c>
      <c r="H49">
        <v>0.9</v>
      </c>
      <c r="I49">
        <v>9.2199999870920006E-8</v>
      </c>
      <c r="J49">
        <v>0.6</v>
      </c>
    </row>
    <row r="50" spans="1:10" x14ac:dyDescent="0.2">
      <c r="A50" t="s">
        <v>10</v>
      </c>
      <c r="B50" s="2">
        <v>22328</v>
      </c>
      <c r="C50" s="2">
        <v>23463.27</v>
      </c>
      <c r="D50" s="2">
        <f>Componenten[[#This Row],[m_tot]]-Componenten[[#This Row],[m_van]]</f>
        <v>1135.2700000000004</v>
      </c>
      <c r="E50" t="s">
        <v>299</v>
      </c>
      <c r="F50">
        <v>8</v>
      </c>
      <c r="G50" t="str">
        <f>LOOKUP(Componenten[[#This Row],[id_initieel_mechanisme]],Faalmechanismen[id],Faalmechanismen[Initieel_mechanisme])</f>
        <v>Piping (opbarsten)</v>
      </c>
      <c r="H50">
        <v>0.9</v>
      </c>
      <c r="I50">
        <v>7.3200000995520014E-8</v>
      </c>
      <c r="J50">
        <v>0.6</v>
      </c>
    </row>
    <row r="51" spans="1:10" x14ac:dyDescent="0.2">
      <c r="A51" t="s">
        <v>10</v>
      </c>
      <c r="B51" s="2">
        <v>23463.27</v>
      </c>
      <c r="C51" s="2">
        <v>24874.92</v>
      </c>
      <c r="D51" s="2">
        <f>Componenten[[#This Row],[m_tot]]-Componenten[[#This Row],[m_van]]</f>
        <v>1411.6499999999978</v>
      </c>
      <c r="E51" t="s">
        <v>300</v>
      </c>
      <c r="F51">
        <v>8</v>
      </c>
      <c r="G51" t="str">
        <f>LOOKUP(Componenten[[#This Row],[id_initieel_mechanisme]],Faalmechanismen[id],Faalmechanismen[Initieel_mechanisme])</f>
        <v>Piping (opbarsten)</v>
      </c>
      <c r="H51">
        <v>0.9</v>
      </c>
      <c r="I51">
        <v>3.9000039000038998E-6</v>
      </c>
      <c r="J51">
        <v>0.6</v>
      </c>
    </row>
    <row r="52" spans="1:10" x14ac:dyDescent="0.2">
      <c r="A52" t="s">
        <v>10</v>
      </c>
      <c r="B52" s="2">
        <v>24874.92</v>
      </c>
      <c r="C52" s="2">
        <v>25231</v>
      </c>
      <c r="D52" s="2">
        <f>Componenten[[#This Row],[m_tot]]-Componenten[[#This Row],[m_van]]</f>
        <v>356.08000000000175</v>
      </c>
      <c r="E52" t="s">
        <v>301</v>
      </c>
      <c r="F52">
        <v>8</v>
      </c>
      <c r="G52" t="str">
        <f>LOOKUP(Componenten[[#This Row],[id_initieel_mechanisme]],Faalmechanismen[id],Faalmechanismen[Initieel_mechanisme])</f>
        <v>Piping (opbarsten)</v>
      </c>
      <c r="H52">
        <v>0.9</v>
      </c>
      <c r="I52">
        <v>7.8800000185968003E-9</v>
      </c>
      <c r="J52">
        <v>0.6</v>
      </c>
    </row>
    <row r="53" spans="1:10" x14ac:dyDescent="0.2">
      <c r="A53" t="s">
        <v>10</v>
      </c>
      <c r="B53" s="2">
        <v>25231</v>
      </c>
      <c r="C53" s="2">
        <v>25439.52</v>
      </c>
      <c r="D53" s="2">
        <f>Componenten[[#This Row],[m_tot]]-Componenten[[#This Row],[m_van]]</f>
        <v>208.52000000000044</v>
      </c>
      <c r="E53" t="s">
        <v>302</v>
      </c>
      <c r="F53">
        <v>8</v>
      </c>
      <c r="G53" t="str">
        <f>LOOKUP(Componenten[[#This Row],[id_initieel_mechanisme]],Faalmechanismen[id],Faalmechanismen[Initieel_mechanisme])</f>
        <v>Piping (opbarsten)</v>
      </c>
      <c r="H53">
        <v>0.9</v>
      </c>
      <c r="I53">
        <v>2.0000000000000001E-9</v>
      </c>
      <c r="J53">
        <v>0.6</v>
      </c>
    </row>
    <row r="54" spans="1:10" x14ac:dyDescent="0.2">
      <c r="A54" t="s">
        <v>10</v>
      </c>
      <c r="B54" s="2">
        <v>25439.52</v>
      </c>
      <c r="C54" s="2">
        <v>25745.07</v>
      </c>
      <c r="D54" s="2">
        <f>Componenten[[#This Row],[m_tot]]-Componenten[[#This Row],[m_van]]</f>
        <v>305.54999999999927</v>
      </c>
      <c r="E54" t="s">
        <v>303</v>
      </c>
      <c r="F54">
        <v>8</v>
      </c>
      <c r="G54" t="str">
        <f>LOOKUP(Componenten[[#This Row],[id_initieel_mechanisme]],Faalmechanismen[id],Faalmechanismen[Initieel_mechanisme])</f>
        <v>Piping (opbarsten)</v>
      </c>
      <c r="H54">
        <v>0.9</v>
      </c>
      <c r="I54">
        <v>8.9799999685700004E-9</v>
      </c>
      <c r="J54">
        <v>0.6</v>
      </c>
    </row>
    <row r="55" spans="1:10" x14ac:dyDescent="0.2">
      <c r="A55" t="s">
        <v>10</v>
      </c>
      <c r="B55" s="2">
        <v>25745.07</v>
      </c>
      <c r="C55" s="2">
        <v>26080.06</v>
      </c>
      <c r="D55" s="2">
        <f>Componenten[[#This Row],[m_tot]]-Componenten[[#This Row],[m_van]]</f>
        <v>334.9900000000016</v>
      </c>
      <c r="E55" t="s">
        <v>304</v>
      </c>
      <c r="F55">
        <v>8</v>
      </c>
      <c r="G55" t="str">
        <f>LOOKUP(Componenten[[#This Row],[id_initieel_mechanisme]],Faalmechanismen[id],Faalmechanismen[Initieel_mechanisme])</f>
        <v>Piping (opbarsten)</v>
      </c>
      <c r="H55">
        <v>0.9</v>
      </c>
      <c r="I55">
        <v>1.6900000009464E-9</v>
      </c>
      <c r="J55">
        <v>0.6</v>
      </c>
    </row>
    <row r="56" spans="1:10" x14ac:dyDescent="0.2">
      <c r="A56" t="s">
        <v>10</v>
      </c>
      <c r="B56" s="2">
        <v>26080.06</v>
      </c>
      <c r="C56" s="2">
        <v>27377.71</v>
      </c>
      <c r="D56" s="2">
        <f>Componenten[[#This Row],[m_tot]]-Componenten[[#This Row],[m_van]]</f>
        <v>1297.6499999999978</v>
      </c>
      <c r="E56" t="s">
        <v>305</v>
      </c>
      <c r="F56">
        <v>8</v>
      </c>
      <c r="G56" t="str">
        <f>LOOKUP(Componenten[[#This Row],[id_initieel_mechanisme]],Faalmechanismen[id],Faalmechanismen[Initieel_mechanisme])</f>
        <v>Piping (opbarsten)</v>
      </c>
      <c r="H56">
        <v>0.9</v>
      </c>
      <c r="I56">
        <v>6.1199999929007997E-9</v>
      </c>
      <c r="J56">
        <v>0.6</v>
      </c>
    </row>
    <row r="57" spans="1:10" x14ac:dyDescent="0.2">
      <c r="A57" t="s">
        <v>10</v>
      </c>
      <c r="B57" s="2">
        <v>27377.71</v>
      </c>
      <c r="C57" s="2">
        <v>27892.57</v>
      </c>
      <c r="D57" s="2">
        <f>Componenten[[#This Row],[m_tot]]-Componenten[[#This Row],[m_van]]</f>
        <v>514.86000000000058</v>
      </c>
      <c r="E57" t="s">
        <v>306</v>
      </c>
      <c r="F57">
        <v>8</v>
      </c>
      <c r="G57" t="str">
        <f>LOOKUP(Componenten[[#This Row],[id_initieel_mechanisme]],Faalmechanismen[id],Faalmechanismen[Initieel_mechanisme])</f>
        <v>Piping (opbarsten)</v>
      </c>
      <c r="H57">
        <v>0.9</v>
      </c>
      <c r="I57">
        <v>3.6599999999443677E-11</v>
      </c>
      <c r="J57">
        <v>0.6</v>
      </c>
    </row>
    <row r="58" spans="1:10" x14ac:dyDescent="0.2">
      <c r="A58" t="s">
        <v>10</v>
      </c>
      <c r="B58" s="2">
        <v>27892.57</v>
      </c>
      <c r="C58" s="2">
        <v>28218.78</v>
      </c>
      <c r="D58" s="2">
        <f>Componenten[[#This Row],[m_tot]]-Componenten[[#This Row],[m_van]]</f>
        <v>326.20999999999913</v>
      </c>
      <c r="E58" t="s">
        <v>307</v>
      </c>
      <c r="F58">
        <v>8</v>
      </c>
      <c r="G58" t="str">
        <f>LOOKUP(Componenten[[#This Row],[id_initieel_mechanisme]],Faalmechanismen[id],Faalmechanismen[Initieel_mechanisme])</f>
        <v>Piping (opbarsten)</v>
      </c>
      <c r="H58">
        <v>0.9</v>
      </c>
      <c r="I58">
        <v>3.1099999999999963E-106</v>
      </c>
      <c r="J58">
        <v>0.6</v>
      </c>
    </row>
    <row r="59" spans="1:10" x14ac:dyDescent="0.2">
      <c r="A59" t="s">
        <v>10</v>
      </c>
      <c r="B59" s="2">
        <v>28218.78</v>
      </c>
      <c r="C59" s="2">
        <v>28438.34</v>
      </c>
      <c r="D59" s="2">
        <f>Componenten[[#This Row],[m_tot]]-Componenten[[#This Row],[m_van]]</f>
        <v>219.56000000000131</v>
      </c>
      <c r="E59" t="s">
        <v>308</v>
      </c>
      <c r="F59">
        <v>8</v>
      </c>
      <c r="G59" t="str">
        <f>LOOKUP(Componenten[[#This Row],[id_initieel_mechanisme]],Faalmechanismen[id],Faalmechanismen[Initieel_mechanisme])</f>
        <v>Piping (opbarsten)</v>
      </c>
      <c r="H59">
        <v>0.9</v>
      </c>
      <c r="I59">
        <v>3.0500000228750004E-8</v>
      </c>
      <c r="J59">
        <v>0.6</v>
      </c>
    </row>
    <row r="60" spans="1:10" x14ac:dyDescent="0.2">
      <c r="A60" t="s">
        <v>10</v>
      </c>
      <c r="B60" s="2">
        <v>28438.34</v>
      </c>
      <c r="C60" s="2">
        <v>28902.43</v>
      </c>
      <c r="D60" s="2">
        <f>Componenten[[#This Row],[m_tot]]-Componenten[[#This Row],[m_van]]</f>
        <v>464.09000000000015</v>
      </c>
      <c r="E60" t="s">
        <v>309</v>
      </c>
      <c r="F60">
        <v>8</v>
      </c>
      <c r="G60" t="str">
        <f>LOOKUP(Componenten[[#This Row],[id_initieel_mechanisme]],Faalmechanismen[id],Faalmechanismen[Initieel_mechanisme])</f>
        <v>Piping (opbarsten)</v>
      </c>
      <c r="H60">
        <v>0.9</v>
      </c>
      <c r="I60">
        <v>2.5800000014964001E-9</v>
      </c>
      <c r="J60">
        <v>0.6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="145" zoomScaleNormal="145" workbookViewId="0">
      <selection activeCell="F9" sqref="F9"/>
    </sheetView>
  </sheetViews>
  <sheetFormatPr defaultColWidth="11.5703125" defaultRowHeight="12.75" customHeight="1" x14ac:dyDescent="0.2"/>
  <cols>
    <col min="2" max="2" width="43.140625" customWidth="1"/>
    <col min="3" max="3" width="38.140625" customWidth="1"/>
    <col min="4" max="4" width="21.42578125" customWidth="1"/>
    <col min="6" max="6" width="33.42578125" customWidth="1"/>
    <col min="7" max="7" width="30.28515625" customWidth="1"/>
    <col min="8" max="8" width="11.85546875" customWidth="1"/>
  </cols>
  <sheetData>
    <row r="1" spans="1:9" ht="12.75" customHeight="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ht="12.75" customHeight="1" x14ac:dyDescent="0.2">
      <c r="A2">
        <v>1</v>
      </c>
      <c r="B2" t="s">
        <v>20</v>
      </c>
      <c r="C2" t="s">
        <v>21</v>
      </c>
      <c r="D2" t="s">
        <v>22</v>
      </c>
      <c r="E2">
        <v>5000</v>
      </c>
      <c r="F2" t="s">
        <v>23</v>
      </c>
      <c r="G2" t="s">
        <v>23</v>
      </c>
      <c r="H2">
        <v>0.7</v>
      </c>
      <c r="I2">
        <v>99000</v>
      </c>
    </row>
    <row r="3" spans="1:9" ht="12.75" customHeight="1" x14ac:dyDescent="0.2">
      <c r="A3">
        <v>2</v>
      </c>
      <c r="B3" t="s">
        <v>20</v>
      </c>
      <c r="C3" t="s">
        <v>24</v>
      </c>
      <c r="D3" t="s">
        <v>25</v>
      </c>
      <c r="E3">
        <v>5000</v>
      </c>
      <c r="F3" t="s">
        <v>23</v>
      </c>
      <c r="G3" t="s">
        <v>23</v>
      </c>
      <c r="H3">
        <v>0.7</v>
      </c>
      <c r="I3">
        <v>99000</v>
      </c>
    </row>
    <row r="4" spans="1:9" ht="12.75" customHeight="1" x14ac:dyDescent="0.2">
      <c r="A4">
        <v>3</v>
      </c>
      <c r="B4" t="s">
        <v>20</v>
      </c>
      <c r="C4" t="s">
        <v>26</v>
      </c>
      <c r="D4" t="s">
        <v>27</v>
      </c>
      <c r="E4">
        <v>5000</v>
      </c>
      <c r="F4" t="s">
        <v>23</v>
      </c>
      <c r="G4" t="s">
        <v>23</v>
      </c>
      <c r="H4">
        <v>0.7</v>
      </c>
      <c r="I4">
        <v>99000</v>
      </c>
    </row>
    <row r="5" spans="1:9" ht="12.75" customHeight="1" x14ac:dyDescent="0.2">
      <c r="A5">
        <v>4</v>
      </c>
      <c r="B5" t="s">
        <v>20</v>
      </c>
      <c r="C5" t="s">
        <v>28</v>
      </c>
      <c r="D5" t="s">
        <v>29</v>
      </c>
      <c r="E5">
        <v>5000</v>
      </c>
      <c r="F5" t="s">
        <v>23</v>
      </c>
      <c r="G5" t="s">
        <v>23</v>
      </c>
      <c r="H5">
        <v>0.7</v>
      </c>
      <c r="I5">
        <v>99000</v>
      </c>
    </row>
    <row r="6" spans="1:9" ht="12.75" customHeight="1" x14ac:dyDescent="0.2">
      <c r="A6">
        <v>5</v>
      </c>
      <c r="B6" t="s">
        <v>20</v>
      </c>
      <c r="C6" t="s">
        <v>30</v>
      </c>
      <c r="D6" t="s">
        <v>31</v>
      </c>
      <c r="E6">
        <v>5000</v>
      </c>
      <c r="F6" t="s">
        <v>23</v>
      </c>
      <c r="G6" t="s">
        <v>23</v>
      </c>
      <c r="H6">
        <v>0.7</v>
      </c>
      <c r="I6">
        <v>99000</v>
      </c>
    </row>
    <row r="7" spans="1:9" ht="12.75" customHeight="1" x14ac:dyDescent="0.2">
      <c r="A7">
        <v>6</v>
      </c>
      <c r="B7" t="s">
        <v>32</v>
      </c>
      <c r="C7" t="s">
        <v>33</v>
      </c>
      <c r="D7" t="s">
        <v>34</v>
      </c>
      <c r="E7">
        <v>5000</v>
      </c>
      <c r="F7" t="s">
        <v>23</v>
      </c>
      <c r="G7" t="s">
        <v>23</v>
      </c>
      <c r="H7">
        <v>0.7</v>
      </c>
      <c r="I7">
        <v>99000</v>
      </c>
    </row>
    <row r="8" spans="1:9" ht="12.75" customHeight="1" x14ac:dyDescent="0.2">
      <c r="A8">
        <v>7</v>
      </c>
      <c r="B8" t="s">
        <v>32</v>
      </c>
      <c r="C8" t="s">
        <v>35</v>
      </c>
      <c r="D8" t="s">
        <v>36</v>
      </c>
      <c r="E8">
        <v>5000</v>
      </c>
      <c r="F8" t="s">
        <v>23</v>
      </c>
      <c r="G8" t="s">
        <v>23</v>
      </c>
      <c r="H8">
        <v>0.7</v>
      </c>
      <c r="I8">
        <v>99000</v>
      </c>
    </row>
    <row r="9" spans="1:9" ht="12.75" customHeight="1" x14ac:dyDescent="0.2">
      <c r="A9">
        <v>8</v>
      </c>
      <c r="B9" t="s">
        <v>37</v>
      </c>
      <c r="C9" t="s">
        <v>310</v>
      </c>
      <c r="D9" t="s">
        <v>38</v>
      </c>
      <c r="E9">
        <v>300</v>
      </c>
      <c r="F9" t="s">
        <v>39</v>
      </c>
      <c r="G9" t="s">
        <v>39</v>
      </c>
      <c r="H9">
        <v>0.2</v>
      </c>
      <c r="I9">
        <v>350</v>
      </c>
    </row>
    <row r="10" spans="1:9" ht="12.75" customHeight="1" x14ac:dyDescent="0.2">
      <c r="A10">
        <v>9</v>
      </c>
      <c r="B10" t="s">
        <v>37</v>
      </c>
      <c r="C10" t="s">
        <v>40</v>
      </c>
      <c r="D10" t="s">
        <v>41</v>
      </c>
      <c r="E10">
        <v>50</v>
      </c>
      <c r="F10" t="s">
        <v>39</v>
      </c>
      <c r="G10" t="s">
        <v>39</v>
      </c>
      <c r="H10">
        <v>0.2</v>
      </c>
      <c r="I10">
        <v>100</v>
      </c>
    </row>
    <row r="11" spans="1:9" ht="12.75" customHeight="1" x14ac:dyDescent="0.2">
      <c r="A11">
        <v>10</v>
      </c>
      <c r="B11" t="s">
        <v>37</v>
      </c>
      <c r="C11" t="s">
        <v>42</v>
      </c>
      <c r="D11" t="s">
        <v>43</v>
      </c>
      <c r="E11">
        <v>50</v>
      </c>
      <c r="F11" t="s">
        <v>39</v>
      </c>
      <c r="G11" t="s">
        <v>39</v>
      </c>
      <c r="H11">
        <v>0.2</v>
      </c>
      <c r="I11">
        <v>100</v>
      </c>
    </row>
    <row r="12" spans="1:9" ht="12.75" customHeight="1" x14ac:dyDescent="0.2">
      <c r="A12">
        <v>11</v>
      </c>
      <c r="B12" t="s">
        <v>37</v>
      </c>
      <c r="C12" t="s">
        <v>44</v>
      </c>
      <c r="D12" t="s">
        <v>45</v>
      </c>
      <c r="E12">
        <v>50</v>
      </c>
      <c r="F12" t="s">
        <v>39</v>
      </c>
      <c r="G12" t="s">
        <v>39</v>
      </c>
      <c r="H12">
        <v>0.2</v>
      </c>
      <c r="I12">
        <v>100</v>
      </c>
    </row>
    <row r="13" spans="1:9" ht="12.75" customHeight="1" x14ac:dyDescent="0.2">
      <c r="A13">
        <v>12</v>
      </c>
      <c r="B13" t="s">
        <v>46</v>
      </c>
      <c r="C13" t="s">
        <v>47</v>
      </c>
      <c r="D13" t="s">
        <v>48</v>
      </c>
      <c r="E13">
        <v>5000</v>
      </c>
      <c r="F13" t="s">
        <v>23</v>
      </c>
      <c r="G13" t="s">
        <v>23</v>
      </c>
      <c r="H13">
        <v>0.1</v>
      </c>
      <c r="I13">
        <v>100</v>
      </c>
    </row>
    <row r="14" spans="1:9" ht="12.75" customHeight="1" x14ac:dyDescent="0.2">
      <c r="A14">
        <v>13</v>
      </c>
      <c r="B14" t="s">
        <v>46</v>
      </c>
      <c r="C14" t="s">
        <v>49</v>
      </c>
      <c r="D14" t="s">
        <v>50</v>
      </c>
      <c r="E14">
        <v>5000</v>
      </c>
      <c r="F14" t="s">
        <v>39</v>
      </c>
      <c r="G14" t="s">
        <v>23</v>
      </c>
      <c r="H14">
        <v>0.1</v>
      </c>
      <c r="I14">
        <v>100</v>
      </c>
    </row>
    <row r="15" spans="1:9" ht="12.75" customHeight="1" x14ac:dyDescent="0.2">
      <c r="A15">
        <v>14</v>
      </c>
      <c r="B15" t="s">
        <v>46</v>
      </c>
      <c r="C15" t="s">
        <v>51</v>
      </c>
      <c r="D15" t="s">
        <v>52</v>
      </c>
      <c r="E15">
        <v>5000</v>
      </c>
      <c r="F15" t="s">
        <v>39</v>
      </c>
      <c r="G15" t="s">
        <v>23</v>
      </c>
      <c r="H15">
        <v>0.1</v>
      </c>
      <c r="I15">
        <v>100</v>
      </c>
    </row>
    <row r="16" spans="1:9" ht="12.75" customHeight="1" x14ac:dyDescent="0.2">
      <c r="A16">
        <v>15</v>
      </c>
      <c r="B16" t="s">
        <v>46</v>
      </c>
      <c r="C16" t="s">
        <v>53</v>
      </c>
      <c r="D16" t="s">
        <v>54</v>
      </c>
      <c r="E16">
        <v>5000</v>
      </c>
      <c r="F16" t="s">
        <v>39</v>
      </c>
      <c r="G16" t="s">
        <v>23</v>
      </c>
      <c r="H16">
        <v>0.1</v>
      </c>
      <c r="I16">
        <v>100</v>
      </c>
    </row>
    <row r="17" spans="1:9" ht="12.75" customHeight="1" x14ac:dyDescent="0.2">
      <c r="A17">
        <v>16</v>
      </c>
      <c r="B17" t="s">
        <v>55</v>
      </c>
      <c r="C17" t="s">
        <v>56</v>
      </c>
      <c r="D17" t="s">
        <v>57</v>
      </c>
      <c r="E17">
        <v>500</v>
      </c>
      <c r="F17" t="s">
        <v>39</v>
      </c>
      <c r="G17" t="s">
        <v>23</v>
      </c>
      <c r="H17">
        <v>0.3</v>
      </c>
      <c r="I17">
        <v>750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4775-0FAA-4E96-8126-A17531E7F7C1}">
  <dimension ref="A1:N63"/>
  <sheetViews>
    <sheetView tabSelected="1" workbookViewId="0"/>
  </sheetViews>
  <sheetFormatPr defaultRowHeight="12.75" x14ac:dyDescent="0.2"/>
  <cols>
    <col min="4" max="4" width="9.42578125" customWidth="1"/>
    <col min="7" max="7" width="132.7109375" bestFit="1" customWidth="1"/>
    <col min="8" max="8" width="12.28515625" customWidth="1"/>
    <col min="9" max="9" width="18.85546875" customWidth="1"/>
    <col min="10" max="10" width="16.85546875" customWidth="1"/>
    <col min="11" max="11" width="15.7109375" bestFit="1" customWidth="1"/>
    <col min="12" max="12" width="41.28515625" customWidth="1"/>
    <col min="13" max="13" width="10.7109375" customWidth="1"/>
    <col min="14" max="14" width="23.28515625" bestFit="1" customWidth="1"/>
    <col min="16" max="16" width="14.140625" bestFit="1" customWidth="1"/>
  </cols>
  <sheetData>
    <row r="1" spans="1:14" x14ac:dyDescent="0.2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236</v>
      </c>
      <c r="G1" t="s">
        <v>237</v>
      </c>
      <c r="H1" t="s">
        <v>238</v>
      </c>
      <c r="I1" t="s">
        <v>239</v>
      </c>
      <c r="J1" t="s">
        <v>247</v>
      </c>
      <c r="K1" t="s">
        <v>248</v>
      </c>
      <c r="L1" t="s">
        <v>240</v>
      </c>
      <c r="M1" t="s">
        <v>241</v>
      </c>
      <c r="N1" t="s">
        <v>311</v>
      </c>
    </row>
    <row r="2" spans="1:14" x14ac:dyDescent="0.2">
      <c r="A2" t="s">
        <v>251</v>
      </c>
      <c r="B2" t="s">
        <v>58</v>
      </c>
      <c r="C2" t="s">
        <v>59</v>
      </c>
      <c r="D2">
        <v>585</v>
      </c>
      <c r="E2">
        <v>2.76</v>
      </c>
      <c r="F2" t="s">
        <v>118</v>
      </c>
      <c r="G2" t="s">
        <v>119</v>
      </c>
      <c r="H2" t="str">
        <f>RIGHT(Tabel3[[#This Row],[Pf_dsn]],LEN(Tabel3[[#This Row],[Pf_dsn]])-2)</f>
        <v>1,124</v>
      </c>
      <c r="I2">
        <v>1124</v>
      </c>
      <c r="J2">
        <f>1/Tabel3[[#This Row],[T_zonder_punten]]</f>
        <v>8.8967971530249106E-4</v>
      </c>
      <c r="K2">
        <f>Tabel3[[#This Row],[Pf_dsn_fromT]]*Tabel3[[#This Row],[N_vak]]</f>
        <v>2.455516014234875E-3</v>
      </c>
      <c r="L2" s="3">
        <f>1/Tabel3[[#This Row],[Pf_vak_fromT]]</f>
        <v>407.24637681159425</v>
      </c>
      <c r="M2">
        <f>1-Tabel3[[#This Row],[Pf_vak_fromT]]</f>
        <v>0.99754448398576512</v>
      </c>
      <c r="N2">
        <f>MAX(1,1+0.9*Tabel3[[#This Row],[Lengte]]/300)</f>
        <v>2.7549999999999999</v>
      </c>
    </row>
    <row r="3" spans="1:14" x14ac:dyDescent="0.2">
      <c r="A3" t="s">
        <v>252</v>
      </c>
      <c r="B3" t="s">
        <v>59</v>
      </c>
      <c r="C3" t="s">
        <v>60</v>
      </c>
      <c r="D3">
        <v>791.14</v>
      </c>
      <c r="E3">
        <v>3.37</v>
      </c>
      <c r="F3" t="s">
        <v>120</v>
      </c>
      <c r="G3" t="s">
        <v>121</v>
      </c>
      <c r="H3" t="str">
        <f>RIGHT(Tabel3[[#This Row],[Pf_dsn]],LEN(Tabel3[[#This Row],[Pf_dsn]])-2)</f>
        <v>1,075</v>
      </c>
      <c r="I3">
        <v>1075</v>
      </c>
      <c r="J3">
        <f>1/Tabel3[[#This Row],[T_zonder_punten]]</f>
        <v>9.3023255813953494E-4</v>
      </c>
      <c r="K3">
        <f>Tabel3[[#This Row],[Pf_dsn_fromT]]*Tabel3[[#This Row],[N_vak]]</f>
        <v>3.1348837209302328E-3</v>
      </c>
      <c r="L3" s="3">
        <f>1/Tabel3[[#This Row],[Pf_vak_fromT]]</f>
        <v>318.99109792284867</v>
      </c>
      <c r="M3">
        <f>1-Tabel3[[#This Row],[Pf_vak_fromT]]</f>
        <v>0.99686511627906982</v>
      </c>
      <c r="N3">
        <f>MAX(1,1+0.9*Tabel3[[#This Row],[Lengte]]/300)</f>
        <v>3.3734199999999999</v>
      </c>
    </row>
    <row r="4" spans="1:14" x14ac:dyDescent="0.2">
      <c r="A4" t="s">
        <v>253</v>
      </c>
      <c r="B4" t="s">
        <v>60</v>
      </c>
      <c r="C4" t="s">
        <v>61</v>
      </c>
      <c r="D4">
        <v>353.36</v>
      </c>
      <c r="E4">
        <v>2.06</v>
      </c>
      <c r="F4" t="s">
        <v>122</v>
      </c>
      <c r="G4" t="s">
        <v>123</v>
      </c>
      <c r="H4" t="str">
        <f>RIGHT(Tabel3[[#This Row],[Pf_dsn]],LEN(Tabel3[[#This Row],[Pf_dsn]])-2)</f>
        <v>2,033</v>
      </c>
      <c r="I4">
        <v>2033</v>
      </c>
      <c r="J4">
        <f>1/Tabel3[[#This Row],[T_zonder_punten]]</f>
        <v>4.9188391539596653E-4</v>
      </c>
      <c r="K4">
        <f>Tabel3[[#This Row],[Pf_dsn_fromT]]*Tabel3[[#This Row],[N_vak]]</f>
        <v>1.0132808657156911E-3</v>
      </c>
      <c r="L4" s="3">
        <f>1/Tabel3[[#This Row],[Pf_vak_fromT]]</f>
        <v>986.89320388349518</v>
      </c>
      <c r="M4">
        <f>1-Tabel3[[#This Row],[Pf_vak_fromT]]</f>
        <v>0.99898671913428427</v>
      </c>
      <c r="N4">
        <f>MAX(1,1+0.9*Tabel3[[#This Row],[Lengte]]/300)</f>
        <v>2.0600800000000001</v>
      </c>
    </row>
    <row r="5" spans="1:14" x14ac:dyDescent="0.2">
      <c r="A5" t="s">
        <v>254</v>
      </c>
      <c r="B5" t="s">
        <v>61</v>
      </c>
      <c r="C5" t="s">
        <v>62</v>
      </c>
      <c r="D5">
        <v>766.5</v>
      </c>
      <c r="E5">
        <v>3.3</v>
      </c>
      <c r="F5" t="s">
        <v>124</v>
      </c>
      <c r="G5" t="s">
        <v>125</v>
      </c>
      <c r="H5" t="str">
        <f>RIGHT(Tabel3[[#This Row],[Pf_dsn]],LEN(Tabel3[[#This Row],[Pf_dsn]])-2)</f>
        <v>1,081</v>
      </c>
      <c r="I5">
        <v>1081</v>
      </c>
      <c r="J5">
        <f>1/Tabel3[[#This Row],[T_zonder_punten]]</f>
        <v>9.2506938020351531E-4</v>
      </c>
      <c r="K5">
        <f>Tabel3[[#This Row],[Pf_dsn_fromT]]*Tabel3[[#This Row],[N_vak]]</f>
        <v>3.0527289546716002E-3</v>
      </c>
      <c r="L5" s="3">
        <f>1/Tabel3[[#This Row],[Pf_vak_fromT]]</f>
        <v>327.57575757575756</v>
      </c>
      <c r="M5">
        <f>1-Tabel3[[#This Row],[Pf_vak_fromT]]</f>
        <v>0.99694727104532843</v>
      </c>
      <c r="N5">
        <f>MAX(1,1+0.9*Tabel3[[#This Row],[Lengte]]/300)</f>
        <v>3.2995000000000001</v>
      </c>
    </row>
    <row r="6" spans="1:14" x14ac:dyDescent="0.2">
      <c r="A6" t="s">
        <v>255</v>
      </c>
      <c r="B6" t="s">
        <v>62</v>
      </c>
      <c r="C6" t="s">
        <v>63</v>
      </c>
      <c r="D6">
        <v>146</v>
      </c>
      <c r="E6">
        <v>1.44</v>
      </c>
      <c r="F6" t="s">
        <v>126</v>
      </c>
      <c r="G6" t="s">
        <v>127</v>
      </c>
      <c r="H6" t="str">
        <f>RIGHT(Tabel3[[#This Row],[Pf_dsn]],LEN(Tabel3[[#This Row],[Pf_dsn]])-2)</f>
        <v>20,080</v>
      </c>
      <c r="I6">
        <v>20080</v>
      </c>
      <c r="J6">
        <f>1/Tabel3[[#This Row],[T_zonder_punten]]</f>
        <v>4.9800796812749006E-5</v>
      </c>
      <c r="K6">
        <f>Tabel3[[#This Row],[Pf_dsn_fromT]]*Tabel3[[#This Row],[N_vak]]</f>
        <v>7.171314741035856E-5</v>
      </c>
      <c r="L6" s="3">
        <f>1/Tabel3[[#This Row],[Pf_vak_fromT]]</f>
        <v>13944.444444444445</v>
      </c>
      <c r="M6">
        <f>1-Tabel3[[#This Row],[Pf_vak_fromT]]</f>
        <v>0.99992828685258961</v>
      </c>
      <c r="N6">
        <f>MAX(1,1+0.9*Tabel3[[#This Row],[Lengte]]/300)</f>
        <v>1.4379999999999999</v>
      </c>
    </row>
    <row r="7" spans="1:14" x14ac:dyDescent="0.2">
      <c r="A7" t="s">
        <v>256</v>
      </c>
      <c r="B7" t="s">
        <v>63</v>
      </c>
      <c r="C7" t="s">
        <v>64</v>
      </c>
      <c r="D7">
        <v>165</v>
      </c>
      <c r="E7">
        <v>1.49</v>
      </c>
      <c r="F7" t="s">
        <v>128</v>
      </c>
      <c r="G7" t="s">
        <v>129</v>
      </c>
      <c r="H7" t="str">
        <f>RIGHT(Tabel3[[#This Row],[Pf_dsn]],LEN(Tabel3[[#This Row],[Pf_dsn]])-2)</f>
        <v>113,895,216</v>
      </c>
      <c r="I7">
        <v>113895216</v>
      </c>
      <c r="J7">
        <f>1/Tabel3[[#This Row],[T_zonder_punten]]</f>
        <v>8.7800000309056E-9</v>
      </c>
      <c r="K7">
        <f>Tabel3[[#This Row],[Pf_dsn_fromT]]*Tabel3[[#This Row],[N_vak]]</f>
        <v>1.3082200046049343E-8</v>
      </c>
      <c r="L7" s="3">
        <f>1/Tabel3[[#This Row],[Pf_vak_fromT]]</f>
        <v>76439742.281879202</v>
      </c>
      <c r="M7">
        <f>1-Tabel3[[#This Row],[Pf_vak_fromT]]</f>
        <v>0.9999999869177999</v>
      </c>
      <c r="N7">
        <f>MAX(1,1+0.9*Tabel3[[#This Row],[Lengte]]/300)</f>
        <v>1.4950000000000001</v>
      </c>
    </row>
    <row r="8" spans="1:14" x14ac:dyDescent="0.2">
      <c r="A8" t="s">
        <v>257</v>
      </c>
      <c r="B8" t="s">
        <v>64</v>
      </c>
      <c r="C8" t="s">
        <v>65</v>
      </c>
      <c r="D8">
        <v>396.56</v>
      </c>
      <c r="E8">
        <v>2.19</v>
      </c>
      <c r="F8" t="s">
        <v>130</v>
      </c>
      <c r="G8" t="s">
        <v>131</v>
      </c>
      <c r="H8" t="str">
        <f>RIGHT(Tabel3[[#This Row],[Pf_dsn]],LEN(Tabel3[[#This Row],[Pf_dsn]])-2)</f>
        <v>1,510,574</v>
      </c>
      <c r="I8">
        <v>1510574</v>
      </c>
      <c r="J8">
        <f>1/Tabel3[[#This Row],[T_zonder_punten]]</f>
        <v>6.6200000794400011E-7</v>
      </c>
      <c r="K8">
        <f>Tabel3[[#This Row],[Pf_dsn_fromT]]*Tabel3[[#This Row],[N_vak]]</f>
        <v>1.4497800173973602E-6</v>
      </c>
      <c r="L8" s="3">
        <f>1/Tabel3[[#This Row],[Pf_vak_fromT]]</f>
        <v>689759.81735159818</v>
      </c>
      <c r="M8">
        <f>1-Tabel3[[#This Row],[Pf_vak_fromT]]</f>
        <v>0.99999855021998263</v>
      </c>
      <c r="N8">
        <f>MAX(1,1+0.9*Tabel3[[#This Row],[Lengte]]/300)</f>
        <v>2.1896800000000001</v>
      </c>
    </row>
    <row r="9" spans="1:14" x14ac:dyDescent="0.2">
      <c r="A9" t="s">
        <v>258</v>
      </c>
      <c r="B9" t="s">
        <v>65</v>
      </c>
      <c r="C9" t="s">
        <v>66</v>
      </c>
      <c r="D9">
        <v>286.89999999999998</v>
      </c>
      <c r="E9">
        <v>1.86</v>
      </c>
      <c r="F9" t="s">
        <v>132</v>
      </c>
      <c r="G9" t="s">
        <v>133</v>
      </c>
      <c r="H9" t="str">
        <f>RIGHT(Tabel3[[#This Row],[Pf_dsn]],LEN(Tabel3[[#This Row],[Pf_dsn]])-2)</f>
        <v>129,870</v>
      </c>
      <c r="I9">
        <v>129870</v>
      </c>
      <c r="J9">
        <f>1/Tabel3[[#This Row],[T_zonder_punten]]</f>
        <v>7.7000077000077007E-6</v>
      </c>
      <c r="K9">
        <f>Tabel3[[#This Row],[Pf_dsn_fromT]]*Tabel3[[#This Row],[N_vak]]</f>
        <v>1.4322014322014325E-5</v>
      </c>
      <c r="L9" s="3">
        <f>1/Tabel3[[#This Row],[Pf_vak_fromT]]</f>
        <v>69822.580645161273</v>
      </c>
      <c r="M9">
        <f>1-Tabel3[[#This Row],[Pf_vak_fromT]]</f>
        <v>0.99998567798567795</v>
      </c>
      <c r="N9">
        <f>MAX(1,1+0.9*Tabel3[[#This Row],[Lengte]]/300)</f>
        <v>1.8607</v>
      </c>
    </row>
    <row r="10" spans="1:14" x14ac:dyDescent="0.2">
      <c r="A10" t="s">
        <v>259</v>
      </c>
      <c r="B10" t="s">
        <v>66</v>
      </c>
      <c r="C10" t="s">
        <v>67</v>
      </c>
      <c r="D10">
        <v>1366.86</v>
      </c>
      <c r="E10">
        <v>5.0999999999999996</v>
      </c>
      <c r="F10" t="s">
        <v>134</v>
      </c>
      <c r="G10" t="s">
        <v>135</v>
      </c>
      <c r="H10" t="str">
        <f>RIGHT(Tabel3[[#This Row],[Pf_dsn]],LEN(Tabel3[[#This Row],[Pf_dsn]])-2)</f>
        <v>145,985</v>
      </c>
      <c r="I10">
        <v>145985</v>
      </c>
      <c r="J10">
        <f>1/Tabel3[[#This Row],[T_zonder_punten]]</f>
        <v>6.8500188375518031E-6</v>
      </c>
      <c r="K10">
        <f>Tabel3[[#This Row],[Pf_dsn_fromT]]*Tabel3[[#This Row],[N_vak]]</f>
        <v>3.4935096071514191E-5</v>
      </c>
      <c r="L10" s="3">
        <f>1/Tabel3[[#This Row],[Pf_vak_fromT]]</f>
        <v>28624.509803921574</v>
      </c>
      <c r="M10">
        <f>1-Tabel3[[#This Row],[Pf_vak_fromT]]</f>
        <v>0.99996506490392845</v>
      </c>
      <c r="N10">
        <f>MAX(1,1+0.9*Tabel3[[#This Row],[Lengte]]/300)</f>
        <v>5.1005799999999999</v>
      </c>
    </row>
    <row r="11" spans="1:14" x14ac:dyDescent="0.2">
      <c r="A11" t="s">
        <v>260</v>
      </c>
      <c r="B11" t="s">
        <v>67</v>
      </c>
      <c r="C11" t="s">
        <v>68</v>
      </c>
      <c r="D11">
        <v>884.01</v>
      </c>
      <c r="E11">
        <v>3.65</v>
      </c>
      <c r="F11" t="s">
        <v>136</v>
      </c>
      <c r="G11" t="s">
        <v>137</v>
      </c>
      <c r="H11" t="str">
        <f>RIGHT(Tabel3[[#This Row],[Pf_dsn]],LEN(Tabel3[[#This Row],[Pf_dsn]])-2)</f>
        <v>478,469</v>
      </c>
      <c r="I11">
        <v>478469</v>
      </c>
      <c r="J11">
        <f>1/Tabel3[[#This Row],[T_zonder_punten]]</f>
        <v>2.0899995611000921E-6</v>
      </c>
      <c r="K11">
        <f>Tabel3[[#This Row],[Pf_dsn_fromT]]*Tabel3[[#This Row],[N_vak]]</f>
        <v>7.6284983980153358E-6</v>
      </c>
      <c r="L11" s="3">
        <f>1/Tabel3[[#This Row],[Pf_vak_fromT]]</f>
        <v>131087.39726027398</v>
      </c>
      <c r="M11">
        <f>1-Tabel3[[#This Row],[Pf_vak_fromT]]</f>
        <v>0.99999237150160203</v>
      </c>
      <c r="N11">
        <f>MAX(1,1+0.9*Tabel3[[#This Row],[Lengte]]/300)</f>
        <v>3.6520300000000003</v>
      </c>
    </row>
    <row r="12" spans="1:14" x14ac:dyDescent="0.2">
      <c r="A12" t="s">
        <v>261</v>
      </c>
      <c r="B12" t="s">
        <v>68</v>
      </c>
      <c r="C12" t="s">
        <v>69</v>
      </c>
      <c r="D12">
        <v>679.04</v>
      </c>
      <c r="E12">
        <v>3.04</v>
      </c>
      <c r="F12" t="s">
        <v>138</v>
      </c>
      <c r="G12" t="s">
        <v>139</v>
      </c>
      <c r="H12" t="str">
        <f>RIGHT(Tabel3[[#This Row],[Pf_dsn]],LEN(Tabel3[[#This Row],[Pf_dsn]])-2)</f>
        <v>2,770</v>
      </c>
      <c r="I12">
        <v>2770</v>
      </c>
      <c r="J12">
        <f>1/Tabel3[[#This Row],[T_zonder_punten]]</f>
        <v>3.6101083032490973E-4</v>
      </c>
      <c r="K12">
        <f>Tabel3[[#This Row],[Pf_dsn_fromT]]*Tabel3[[#This Row],[N_vak]]</f>
        <v>1.0974729241877256E-3</v>
      </c>
      <c r="L12" s="3">
        <f>1/Tabel3[[#This Row],[Pf_vak_fromT]]</f>
        <v>911.18421052631584</v>
      </c>
      <c r="M12">
        <f>1-Tabel3[[#This Row],[Pf_vak_fromT]]</f>
        <v>0.99890252707581229</v>
      </c>
      <c r="N12">
        <f>MAX(1,1+0.9*Tabel3[[#This Row],[Lengte]]/300)</f>
        <v>3.0371199999999998</v>
      </c>
    </row>
    <row r="13" spans="1:14" x14ac:dyDescent="0.2">
      <c r="A13" t="s">
        <v>262</v>
      </c>
      <c r="B13" t="s">
        <v>69</v>
      </c>
      <c r="C13" t="s">
        <v>70</v>
      </c>
      <c r="D13">
        <v>871.64</v>
      </c>
      <c r="E13">
        <v>3.61</v>
      </c>
      <c r="F13" t="s">
        <v>140</v>
      </c>
      <c r="G13" t="s">
        <v>141</v>
      </c>
      <c r="H13" t="str">
        <f>RIGHT(Tabel3[[#This Row],[Pf_dsn]],LEN(Tabel3[[#This Row],[Pf_dsn]])-2)</f>
        <v>14,692</v>
      </c>
      <c r="I13">
        <v>14692</v>
      </c>
      <c r="J13">
        <f>1/Tabel3[[#This Row],[T_zonder_punten]]</f>
        <v>6.8064252654505855E-5</v>
      </c>
      <c r="K13">
        <f>Tabel3[[#This Row],[Pf_dsn_fromT]]*Tabel3[[#This Row],[N_vak]]</f>
        <v>2.4571195208276611E-4</v>
      </c>
      <c r="L13" s="3">
        <f>1/Tabel3[[#This Row],[Pf_vak_fromT]]</f>
        <v>4069.8060941828257</v>
      </c>
      <c r="M13">
        <f>1-Tabel3[[#This Row],[Pf_vak_fromT]]</f>
        <v>0.99975428804791722</v>
      </c>
      <c r="N13">
        <f>MAX(1,1+0.9*Tabel3[[#This Row],[Lengte]]/300)</f>
        <v>3.6149200000000001</v>
      </c>
    </row>
    <row r="14" spans="1:14" x14ac:dyDescent="0.2">
      <c r="A14" t="s">
        <v>263</v>
      </c>
      <c r="B14" t="s">
        <v>70</v>
      </c>
      <c r="C14" t="s">
        <v>71</v>
      </c>
      <c r="D14">
        <v>327.52</v>
      </c>
      <c r="E14">
        <v>1.98</v>
      </c>
      <c r="F14" t="s">
        <v>142</v>
      </c>
      <c r="G14" t="s">
        <v>143</v>
      </c>
      <c r="H14" t="str">
        <f>RIGHT(Tabel3[[#This Row],[Pf_dsn]],LEN(Tabel3[[#This Row],[Pf_dsn]])-2)</f>
        <v>23,095</v>
      </c>
      <c r="I14">
        <v>23095</v>
      </c>
      <c r="J14">
        <f>1/Tabel3[[#This Row],[T_zonder_punten]]</f>
        <v>4.3299415457891315E-5</v>
      </c>
      <c r="K14">
        <f>Tabel3[[#This Row],[Pf_dsn_fromT]]*Tabel3[[#This Row],[N_vak]]</f>
        <v>8.5732842606624799E-5</v>
      </c>
      <c r="L14" s="3">
        <f>1/Tabel3[[#This Row],[Pf_vak_fromT]]</f>
        <v>11664.141414141415</v>
      </c>
      <c r="M14">
        <f>1-Tabel3[[#This Row],[Pf_vak_fromT]]</f>
        <v>0.9999142671573934</v>
      </c>
      <c r="N14">
        <f>MAX(1,1+0.9*Tabel3[[#This Row],[Lengte]]/300)</f>
        <v>1.9825599999999999</v>
      </c>
    </row>
    <row r="15" spans="1:14" x14ac:dyDescent="0.2">
      <c r="A15" t="s">
        <v>264</v>
      </c>
      <c r="B15" t="s">
        <v>71</v>
      </c>
      <c r="C15" t="s">
        <v>72</v>
      </c>
      <c r="D15">
        <v>176.91</v>
      </c>
      <c r="E15">
        <v>1.53</v>
      </c>
      <c r="F15" t="s">
        <v>144</v>
      </c>
      <c r="G15" t="s">
        <v>145</v>
      </c>
      <c r="H15" t="str">
        <f>RIGHT(Tabel3[[#This Row],[Pf_dsn]],LEN(Tabel3[[#This Row],[Pf_dsn]])-2)</f>
        <v>8,547,008,547,008,550,000,000,000,000,000,000,000,000,000,000,000,000,000,000,000,000,000,000,000,000,000,000,000,000</v>
      </c>
      <c r="I15">
        <v>8.5470085470085492E+87</v>
      </c>
      <c r="J15">
        <f>1/Tabel3[[#This Row],[T_zonder_punten]]</f>
        <v>1.1699999999999997E-88</v>
      </c>
      <c r="K15">
        <f>Tabel3[[#This Row],[Pf_dsn_fromT]]*Tabel3[[#This Row],[N_vak]]</f>
        <v>1.7900999999999995E-88</v>
      </c>
      <c r="L15" s="3">
        <f>1/Tabel3[[#This Row],[Pf_vak_fromT]]</f>
        <v>5.5862800960840191E+87</v>
      </c>
      <c r="M15">
        <f>1-Tabel3[[#This Row],[Pf_vak_fromT]]</f>
        <v>1</v>
      </c>
      <c r="N15">
        <f>MAX(1,1+0.9*Tabel3[[#This Row],[Lengte]]/300)</f>
        <v>1.5307300000000001</v>
      </c>
    </row>
    <row r="16" spans="1:14" x14ac:dyDescent="0.2">
      <c r="A16" t="s">
        <v>265</v>
      </c>
      <c r="B16" t="s">
        <v>72</v>
      </c>
      <c r="C16" t="s">
        <v>73</v>
      </c>
      <c r="D16">
        <v>638.83000000000004</v>
      </c>
      <c r="E16">
        <v>2.92</v>
      </c>
      <c r="F16" t="s">
        <v>146</v>
      </c>
      <c r="G16" t="s">
        <v>147</v>
      </c>
      <c r="H16" t="str">
        <f>RIGHT(Tabel3[[#This Row],[Pf_dsn]],LEN(Tabel3[[#This Row],[Pf_dsn]])-2)</f>
        <v>1,002</v>
      </c>
      <c r="I16">
        <v>1002</v>
      </c>
      <c r="J16">
        <f>1/Tabel3[[#This Row],[T_zonder_punten]]</f>
        <v>9.9800399201596798E-4</v>
      </c>
      <c r="K16">
        <f>Tabel3[[#This Row],[Pf_dsn_fromT]]*Tabel3[[#This Row],[N_vak]]</f>
        <v>2.9141716566866266E-3</v>
      </c>
      <c r="L16" s="3">
        <f>1/Tabel3[[#This Row],[Pf_vak_fromT]]</f>
        <v>343.15068493150687</v>
      </c>
      <c r="M16">
        <f>1-Tabel3[[#This Row],[Pf_vak_fromT]]</f>
        <v>0.99708582834331339</v>
      </c>
      <c r="N16">
        <f>MAX(1,1+0.9*Tabel3[[#This Row],[Lengte]]/300)</f>
        <v>2.91649</v>
      </c>
    </row>
    <row r="17" spans="1:14" x14ac:dyDescent="0.2">
      <c r="A17" t="s">
        <v>266</v>
      </c>
      <c r="B17" t="s">
        <v>73</v>
      </c>
      <c r="C17" t="s">
        <v>74</v>
      </c>
      <c r="D17">
        <v>314.05</v>
      </c>
      <c r="E17">
        <v>1.94</v>
      </c>
      <c r="F17" t="s">
        <v>148</v>
      </c>
      <c r="G17" t="s">
        <v>149</v>
      </c>
      <c r="H17" t="str">
        <f>RIGHT(Tabel3[[#This Row],[Pf_dsn]],LEN(Tabel3[[#This Row],[Pf_dsn]])-2)</f>
        <v>84,034</v>
      </c>
      <c r="I17">
        <v>84034</v>
      </c>
      <c r="J17">
        <f>1/Tabel3[[#This Row],[T_zonder_punten]]</f>
        <v>1.1899945260251802E-5</v>
      </c>
      <c r="K17">
        <f>Tabel3[[#This Row],[Pf_dsn_fromT]]*Tabel3[[#This Row],[N_vak]]</f>
        <v>2.3085893804888497E-5</v>
      </c>
      <c r="L17" s="3">
        <f>1/Tabel3[[#This Row],[Pf_vak_fromT]]</f>
        <v>43316.494845360823</v>
      </c>
      <c r="M17">
        <f>1-Tabel3[[#This Row],[Pf_vak_fromT]]</f>
        <v>0.99997691410619516</v>
      </c>
      <c r="N17">
        <f>MAX(1,1+0.9*Tabel3[[#This Row],[Lengte]]/300)</f>
        <v>1.9421500000000003</v>
      </c>
    </row>
    <row r="18" spans="1:14" x14ac:dyDescent="0.2">
      <c r="A18" t="s">
        <v>267</v>
      </c>
      <c r="B18" t="s">
        <v>74</v>
      </c>
      <c r="C18" t="s">
        <v>75</v>
      </c>
      <c r="D18">
        <v>298.16000000000003</v>
      </c>
      <c r="E18">
        <v>1.89</v>
      </c>
      <c r="F18" t="s">
        <v>150</v>
      </c>
      <c r="G18" t="s">
        <v>151</v>
      </c>
      <c r="H18" t="str">
        <f>RIGHT(Tabel3[[#This Row],[Pf_dsn]],LEN(Tabel3[[#This Row],[Pf_dsn]])-2)</f>
        <v>1,426,534</v>
      </c>
      <c r="I18">
        <v>1426534</v>
      </c>
      <c r="J18">
        <f>1/Tabel3[[#This Row],[T_zonder_punten]]</f>
        <v>7.009997658660782E-7</v>
      </c>
      <c r="K18">
        <f>Tabel3[[#This Row],[Pf_dsn_fromT]]*Tabel3[[#This Row],[N_vak]]</f>
        <v>1.3248895574868878E-6</v>
      </c>
      <c r="L18" s="3">
        <f>1/Tabel3[[#This Row],[Pf_vak_fromT]]</f>
        <v>754779.89417989412</v>
      </c>
      <c r="M18">
        <f>1-Tabel3[[#This Row],[Pf_vak_fromT]]</f>
        <v>0.99999867511044249</v>
      </c>
      <c r="N18">
        <f>MAX(1,1+0.9*Tabel3[[#This Row],[Lengte]]/300)</f>
        <v>1.8944800000000002</v>
      </c>
    </row>
    <row r="19" spans="1:14" x14ac:dyDescent="0.2">
      <c r="A19" t="s">
        <v>268</v>
      </c>
      <c r="B19" t="s">
        <v>75</v>
      </c>
      <c r="C19" t="s">
        <v>76</v>
      </c>
      <c r="D19">
        <v>106.56</v>
      </c>
      <c r="E19">
        <v>1.32</v>
      </c>
      <c r="F19" t="s">
        <v>152</v>
      </c>
      <c r="G19" t="s">
        <v>153</v>
      </c>
      <c r="H19" t="str">
        <f>RIGHT(Tabel3[[#This Row],[Pf_dsn]],LEN(Tabel3[[#This Row],[Pf_dsn]])-2)</f>
        <v>122,100</v>
      </c>
      <c r="I19">
        <v>122100</v>
      </c>
      <c r="J19">
        <f>1/Tabel3[[#This Row],[T_zonder_punten]]</f>
        <v>8.1900081900081906E-6</v>
      </c>
      <c r="K19">
        <f>Tabel3[[#This Row],[Pf_dsn_fromT]]*Tabel3[[#This Row],[N_vak]]</f>
        <v>1.0810810810810812E-5</v>
      </c>
      <c r="L19" s="3">
        <f>1/Tabel3[[#This Row],[Pf_vak_fromT]]</f>
        <v>92499.999999999985</v>
      </c>
      <c r="M19">
        <f>1-Tabel3[[#This Row],[Pf_vak_fromT]]</f>
        <v>0.99998918918918922</v>
      </c>
      <c r="N19">
        <f>MAX(1,1+0.9*Tabel3[[#This Row],[Lengte]]/300)</f>
        <v>1.31968</v>
      </c>
    </row>
    <row r="20" spans="1:14" x14ac:dyDescent="0.2">
      <c r="A20" t="s">
        <v>269</v>
      </c>
      <c r="B20" t="s">
        <v>76</v>
      </c>
      <c r="C20" t="s">
        <v>77</v>
      </c>
      <c r="D20">
        <v>292.42</v>
      </c>
      <c r="E20">
        <v>1.88</v>
      </c>
      <c r="F20" t="s">
        <v>154</v>
      </c>
      <c r="G20" t="s">
        <v>155</v>
      </c>
      <c r="H20" t="str">
        <f>RIGHT(Tabel3[[#This Row],[Pf_dsn]],LEN(Tabel3[[#This Row],[Pf_dsn]])-2)</f>
        <v>3,048,780</v>
      </c>
      <c r="I20">
        <v>3048780</v>
      </c>
      <c r="J20">
        <f>1/Tabel3[[#This Row],[T_zonder_punten]]</f>
        <v>3.2800005248000839E-7</v>
      </c>
      <c r="K20">
        <f>Tabel3[[#This Row],[Pf_dsn_fromT]]*Tabel3[[#This Row],[N_vak]]</f>
        <v>6.1664009866241569E-7</v>
      </c>
      <c r="L20" s="3">
        <f>1/Tabel3[[#This Row],[Pf_vak_fromT]]</f>
        <v>1621691.4893617025</v>
      </c>
      <c r="M20">
        <f>1-Tabel3[[#This Row],[Pf_vak_fromT]]</f>
        <v>0.99999938335990135</v>
      </c>
      <c r="N20">
        <f>MAX(1,1+0.9*Tabel3[[#This Row],[Lengte]]/300)</f>
        <v>1.8772600000000002</v>
      </c>
    </row>
    <row r="21" spans="1:14" x14ac:dyDescent="0.2">
      <c r="A21" t="s">
        <v>270</v>
      </c>
      <c r="B21" t="s">
        <v>77</v>
      </c>
      <c r="C21" t="s">
        <v>78</v>
      </c>
      <c r="D21">
        <v>386.67</v>
      </c>
      <c r="E21">
        <v>2.16</v>
      </c>
      <c r="F21" t="s">
        <v>156</v>
      </c>
      <c r="G21" t="s">
        <v>157</v>
      </c>
      <c r="H21" t="str">
        <f>RIGHT(Tabel3[[#This Row],[Pf_dsn]],LEN(Tabel3[[#This Row],[Pf_dsn]])-2)</f>
        <v>806,452</v>
      </c>
      <c r="I21">
        <v>806452</v>
      </c>
      <c r="J21">
        <f>1/Tabel3[[#This Row],[T_zonder_punten]]</f>
        <v>1.2399994048002858E-6</v>
      </c>
      <c r="K21">
        <f>Tabel3[[#This Row],[Pf_dsn_fromT]]*Tabel3[[#This Row],[N_vak]]</f>
        <v>2.6783987143686176E-6</v>
      </c>
      <c r="L21" s="3">
        <f>1/Tabel3[[#This Row],[Pf_vak_fromT]]</f>
        <v>373357.40740740736</v>
      </c>
      <c r="M21">
        <f>1-Tabel3[[#This Row],[Pf_vak_fromT]]</f>
        <v>0.99999732160128563</v>
      </c>
      <c r="N21">
        <f>MAX(1,1+0.9*Tabel3[[#This Row],[Lengte]]/300)</f>
        <v>2.1600100000000002</v>
      </c>
    </row>
    <row r="22" spans="1:14" x14ac:dyDescent="0.2">
      <c r="A22" t="s">
        <v>271</v>
      </c>
      <c r="B22" t="s">
        <v>78</v>
      </c>
      <c r="C22" t="s">
        <v>79</v>
      </c>
      <c r="D22">
        <v>81.290000000000006</v>
      </c>
      <c r="E22">
        <v>1.24</v>
      </c>
      <c r="F22" t="s">
        <v>158</v>
      </c>
      <c r="G22" t="s">
        <v>159</v>
      </c>
      <c r="H22" t="str">
        <f>RIGHT(Tabel3[[#This Row],[Pf_dsn]],LEN(Tabel3[[#This Row],[Pf_dsn]])-2)</f>
        <v>5,154,639,175</v>
      </c>
      <c r="I22">
        <v>5154639175</v>
      </c>
      <c r="J22">
        <f>1/Tabel3[[#This Row],[T_zonder_punten]]</f>
        <v>1.9400000000969999E-10</v>
      </c>
      <c r="K22">
        <f>Tabel3[[#This Row],[Pf_dsn_fromT]]*Tabel3[[#This Row],[N_vak]]</f>
        <v>2.4056000001202798E-10</v>
      </c>
      <c r="L22" s="3">
        <f>1/Tabel3[[#This Row],[Pf_vak_fromT]]</f>
        <v>4156967076.6129036</v>
      </c>
      <c r="M22">
        <f>1-Tabel3[[#This Row],[Pf_vak_fromT]]</f>
        <v>0.99999999975943998</v>
      </c>
      <c r="N22">
        <f>MAX(1,1+0.9*Tabel3[[#This Row],[Lengte]]/300)</f>
        <v>1.24387</v>
      </c>
    </row>
    <row r="23" spans="1:14" x14ac:dyDescent="0.2">
      <c r="A23" t="s">
        <v>272</v>
      </c>
      <c r="B23" t="s">
        <v>79</v>
      </c>
      <c r="C23" t="s">
        <v>80</v>
      </c>
      <c r="D23">
        <v>896.02</v>
      </c>
      <c r="E23">
        <v>3.69</v>
      </c>
      <c r="F23" t="s">
        <v>160</v>
      </c>
      <c r="G23" t="s">
        <v>161</v>
      </c>
      <c r="H23" t="str">
        <f>RIGHT(Tabel3[[#This Row],[Pf_dsn]],LEN(Tabel3[[#This Row],[Pf_dsn]])-2)</f>
        <v>209,643,605,870</v>
      </c>
      <c r="I23">
        <v>209643605870</v>
      </c>
      <c r="J23">
        <f>1/Tabel3[[#This Row],[T_zonder_punten]]</f>
        <v>4.7700000000004767E-12</v>
      </c>
      <c r="K23">
        <f>Tabel3[[#This Row],[Pf_dsn_fromT]]*Tabel3[[#This Row],[N_vak]]</f>
        <v>1.7601300000001758E-11</v>
      </c>
      <c r="L23" s="3">
        <f>1/Tabel3[[#This Row],[Pf_vak_fromT]]</f>
        <v>56813985330.623314</v>
      </c>
      <c r="M23">
        <f>1-Tabel3[[#This Row],[Pf_vak_fromT]]</f>
        <v>0.99999999998239875</v>
      </c>
      <c r="N23">
        <f>MAX(1,1+0.9*Tabel3[[#This Row],[Lengte]]/300)</f>
        <v>3.6880600000000001</v>
      </c>
    </row>
    <row r="24" spans="1:14" x14ac:dyDescent="0.2">
      <c r="A24" t="s">
        <v>273</v>
      </c>
      <c r="B24" t="s">
        <v>80</v>
      </c>
      <c r="C24" t="s">
        <v>81</v>
      </c>
      <c r="D24">
        <v>134</v>
      </c>
      <c r="E24">
        <v>1.4</v>
      </c>
      <c r="F24" t="s">
        <v>162</v>
      </c>
      <c r="G24" t="s">
        <v>163</v>
      </c>
      <c r="H24" t="str">
        <f>RIGHT(Tabel3[[#This Row],[Pf_dsn]],LEN(Tabel3[[#This Row],[Pf_dsn]])-2)</f>
        <v>181,488</v>
      </c>
      <c r="I24">
        <v>181488</v>
      </c>
      <c r="J24">
        <f>1/Tabel3[[#This Row],[T_zonder_punten]]</f>
        <v>5.5100061712069117E-6</v>
      </c>
      <c r="K24">
        <f>Tabel3[[#This Row],[Pf_dsn_fromT]]*Tabel3[[#This Row],[N_vak]]</f>
        <v>7.7140086396896761E-6</v>
      </c>
      <c r="L24" s="3">
        <f>1/Tabel3[[#This Row],[Pf_vak_fromT]]</f>
        <v>129634.28571428572</v>
      </c>
      <c r="M24">
        <f>1-Tabel3[[#This Row],[Pf_vak_fromT]]</f>
        <v>0.99999228599136036</v>
      </c>
      <c r="N24">
        <f>MAX(1,1+0.9*Tabel3[[#This Row],[Lengte]]/300)</f>
        <v>1.4020000000000001</v>
      </c>
    </row>
    <row r="25" spans="1:14" x14ac:dyDescent="0.2">
      <c r="A25" t="s">
        <v>274</v>
      </c>
      <c r="B25" t="s">
        <v>81</v>
      </c>
      <c r="C25" t="s">
        <v>82</v>
      </c>
      <c r="D25">
        <v>149.71</v>
      </c>
      <c r="E25">
        <v>1.45</v>
      </c>
      <c r="F25" t="s">
        <v>164</v>
      </c>
      <c r="G25" t="s">
        <v>165</v>
      </c>
      <c r="H25" t="str">
        <f>RIGHT(Tabel3[[#This Row],[Pf_dsn]],LEN(Tabel3[[#This Row],[Pf_dsn]])-2)</f>
        <v>10,857,763</v>
      </c>
      <c r="I25">
        <v>10857763</v>
      </c>
      <c r="J25">
        <f>1/Tabel3[[#This Row],[T_zonder_punten]]</f>
        <v>9.2100002551170074E-8</v>
      </c>
      <c r="K25">
        <f>Tabel3[[#This Row],[Pf_dsn_fromT]]*Tabel3[[#This Row],[N_vak]]</f>
        <v>1.3354500369919661E-7</v>
      </c>
      <c r="L25" s="3">
        <f>1/Tabel3[[#This Row],[Pf_vak_fromT]]</f>
        <v>7488112.4137931028</v>
      </c>
      <c r="M25">
        <f>1-Tabel3[[#This Row],[Pf_vak_fromT]]</f>
        <v>0.99999986645499628</v>
      </c>
      <c r="N25">
        <f>MAX(1,1+0.9*Tabel3[[#This Row],[Lengte]]/300)</f>
        <v>1.44913</v>
      </c>
    </row>
    <row r="26" spans="1:14" x14ac:dyDescent="0.2">
      <c r="A26" t="s">
        <v>275</v>
      </c>
      <c r="B26" t="s">
        <v>82</v>
      </c>
      <c r="C26" t="s">
        <v>83</v>
      </c>
      <c r="D26">
        <v>273.86</v>
      </c>
      <c r="E26">
        <v>1.82</v>
      </c>
      <c r="F26" t="s">
        <v>166</v>
      </c>
      <c r="G26" t="s">
        <v>167</v>
      </c>
      <c r="H26" t="str">
        <f>RIGHT(Tabel3[[#This Row],[Pf_dsn]],LEN(Tabel3[[#This Row],[Pf_dsn]])-2)</f>
        <v>25,575</v>
      </c>
      <c r="I26">
        <v>25575</v>
      </c>
      <c r="J26">
        <f>1/Tabel3[[#This Row],[T_zonder_punten]]</f>
        <v>3.9100684261974585E-5</v>
      </c>
      <c r="K26">
        <f>Tabel3[[#This Row],[Pf_dsn_fromT]]*Tabel3[[#This Row],[N_vak]]</f>
        <v>7.1163245356793743E-5</v>
      </c>
      <c r="L26" s="3">
        <f>1/Tabel3[[#This Row],[Pf_vak_fromT]]</f>
        <v>14052.197802197803</v>
      </c>
      <c r="M26">
        <f>1-Tabel3[[#This Row],[Pf_vak_fromT]]</f>
        <v>0.99992883675464317</v>
      </c>
      <c r="N26">
        <f>MAX(1,1+0.9*Tabel3[[#This Row],[Lengte]]/300)</f>
        <v>1.82158</v>
      </c>
    </row>
    <row r="27" spans="1:14" x14ac:dyDescent="0.2">
      <c r="A27" t="s">
        <v>276</v>
      </c>
      <c r="B27" t="s">
        <v>83</v>
      </c>
      <c r="C27" t="s">
        <v>84</v>
      </c>
      <c r="D27">
        <v>247</v>
      </c>
      <c r="E27">
        <v>1.74</v>
      </c>
      <c r="F27" t="s">
        <v>168</v>
      </c>
      <c r="G27" t="s">
        <v>169</v>
      </c>
      <c r="H27" t="str">
        <f>RIGHT(Tabel3[[#This Row],[Pf_dsn]],LEN(Tabel3[[#This Row],[Pf_dsn]])-2)</f>
        <v>36,765</v>
      </c>
      <c r="I27">
        <v>36765</v>
      </c>
      <c r="J27">
        <f>1/Tabel3[[#This Row],[T_zonder_punten]]</f>
        <v>2.7199782401740785E-5</v>
      </c>
      <c r="K27">
        <f>Tabel3[[#This Row],[Pf_dsn_fromT]]*Tabel3[[#This Row],[N_vak]]</f>
        <v>4.7327621379028963E-5</v>
      </c>
      <c r="L27" s="3">
        <f>1/Tabel3[[#This Row],[Pf_vak_fromT]]</f>
        <v>21129.310344827587</v>
      </c>
      <c r="M27">
        <f>1-Tabel3[[#This Row],[Pf_vak_fromT]]</f>
        <v>0.99995267237862095</v>
      </c>
      <c r="N27">
        <f>MAX(1,1+0.9*Tabel3[[#This Row],[Lengte]]/300)</f>
        <v>1.7410000000000001</v>
      </c>
    </row>
    <row r="28" spans="1:14" x14ac:dyDescent="0.2">
      <c r="A28" t="s">
        <v>277</v>
      </c>
      <c r="B28" t="s">
        <v>84</v>
      </c>
      <c r="C28" t="s">
        <v>85</v>
      </c>
      <c r="D28">
        <v>169.46</v>
      </c>
      <c r="E28">
        <v>1.51</v>
      </c>
      <c r="F28" t="s">
        <v>170</v>
      </c>
      <c r="G28" t="s">
        <v>171</v>
      </c>
      <c r="H28" t="str">
        <f>RIGHT(Tabel3[[#This Row],[Pf_dsn]],LEN(Tabel3[[#This Row],[Pf_dsn]])-2)</f>
        <v>30,960</v>
      </c>
      <c r="I28">
        <v>30960</v>
      </c>
      <c r="J28">
        <f>1/Tabel3[[#This Row],[T_zonder_punten]]</f>
        <v>3.2299741602067181E-5</v>
      </c>
      <c r="K28">
        <f>Tabel3[[#This Row],[Pf_dsn_fromT]]*Tabel3[[#This Row],[N_vak]]</f>
        <v>4.8772609819121442E-5</v>
      </c>
      <c r="L28" s="3">
        <f>1/Tabel3[[#This Row],[Pf_vak_fromT]]</f>
        <v>20503.311258278147</v>
      </c>
      <c r="M28">
        <f>1-Tabel3[[#This Row],[Pf_vak_fromT]]</f>
        <v>0.99995122739018083</v>
      </c>
      <c r="N28">
        <f>MAX(1,1+0.9*Tabel3[[#This Row],[Lengte]]/300)</f>
        <v>1.5083800000000001</v>
      </c>
    </row>
    <row r="29" spans="1:14" x14ac:dyDescent="0.2">
      <c r="A29" t="s">
        <v>278</v>
      </c>
      <c r="B29" t="s">
        <v>85</v>
      </c>
      <c r="C29" t="s">
        <v>86</v>
      </c>
      <c r="D29">
        <v>201.34</v>
      </c>
      <c r="E29">
        <v>1.6</v>
      </c>
      <c r="F29" t="s">
        <v>172</v>
      </c>
      <c r="G29" t="s">
        <v>173</v>
      </c>
      <c r="H29" t="str">
        <f>RIGHT(Tabel3[[#This Row],[Pf_dsn]],LEN(Tabel3[[#This Row],[Pf_dsn]])-2)</f>
        <v>8,475</v>
      </c>
      <c r="I29">
        <v>8475</v>
      </c>
      <c r="J29">
        <f>1/Tabel3[[#This Row],[T_zonder_punten]]</f>
        <v>1.1799410029498526E-4</v>
      </c>
      <c r="K29">
        <f>Tabel3[[#This Row],[Pf_dsn_fromT]]*Tabel3[[#This Row],[N_vak]]</f>
        <v>1.8879056047197643E-4</v>
      </c>
      <c r="L29" s="3">
        <f>1/Tabel3[[#This Row],[Pf_vak_fromT]]</f>
        <v>5296.8749999999991</v>
      </c>
      <c r="M29">
        <f>1-Tabel3[[#This Row],[Pf_vak_fromT]]</f>
        <v>0.99981120943952806</v>
      </c>
      <c r="N29">
        <f>MAX(1,1+0.9*Tabel3[[#This Row],[Lengte]]/300)</f>
        <v>1.6040200000000002</v>
      </c>
    </row>
    <row r="30" spans="1:14" x14ac:dyDescent="0.2">
      <c r="A30" t="s">
        <v>279</v>
      </c>
      <c r="B30" t="s">
        <v>86</v>
      </c>
      <c r="C30" t="s">
        <v>87</v>
      </c>
      <c r="D30">
        <v>517.19000000000005</v>
      </c>
      <c r="E30">
        <v>2.5499999999999998</v>
      </c>
      <c r="F30" t="s">
        <v>174</v>
      </c>
      <c r="G30" t="s">
        <v>175</v>
      </c>
      <c r="H30" t="str">
        <f>RIGHT(Tabel3[[#This Row],[Pf_dsn]],LEN(Tabel3[[#This Row],[Pf_dsn]])-2)</f>
        <v>216,450</v>
      </c>
      <c r="I30">
        <v>216450</v>
      </c>
      <c r="J30">
        <f>1/Tabel3[[#This Row],[T_zonder_punten]]</f>
        <v>4.6200046200046198E-6</v>
      </c>
      <c r="K30">
        <f>Tabel3[[#This Row],[Pf_dsn_fromT]]*Tabel3[[#This Row],[N_vak]]</f>
        <v>1.178101178101178E-5</v>
      </c>
      <c r="L30" s="3">
        <f>1/Tabel3[[#This Row],[Pf_vak_fromT]]</f>
        <v>84882.352941176476</v>
      </c>
      <c r="M30">
        <f>1-Tabel3[[#This Row],[Pf_vak_fromT]]</f>
        <v>0.99998821898821899</v>
      </c>
      <c r="N30">
        <f>MAX(1,1+0.9*Tabel3[[#This Row],[Lengte]]/300)</f>
        <v>2.5515699999999999</v>
      </c>
    </row>
    <row r="31" spans="1:14" x14ac:dyDescent="0.2">
      <c r="A31" t="s">
        <v>280</v>
      </c>
      <c r="B31" t="s">
        <v>87</v>
      </c>
      <c r="C31" t="s">
        <v>88</v>
      </c>
      <c r="D31">
        <v>656.17</v>
      </c>
      <c r="E31">
        <v>2.97</v>
      </c>
      <c r="F31" t="s">
        <v>176</v>
      </c>
      <c r="G31" t="s">
        <v>177</v>
      </c>
      <c r="H31" t="str">
        <f>RIGHT(Tabel3[[#This Row],[Pf_dsn]],LEN(Tabel3[[#This Row],[Pf_dsn]])-2)</f>
        <v>302,115</v>
      </c>
      <c r="I31">
        <v>302115</v>
      </c>
      <c r="J31">
        <f>1/Tabel3[[#This Row],[T_zonder_punten]]</f>
        <v>3.3099978485013985E-6</v>
      </c>
      <c r="K31">
        <f>Tabel3[[#This Row],[Pf_dsn_fromT]]*Tabel3[[#This Row],[N_vak]]</f>
        <v>9.8306936100491542E-6</v>
      </c>
      <c r="L31" s="3">
        <f>1/Tabel3[[#This Row],[Pf_vak_fromT]]</f>
        <v>101722.22222222222</v>
      </c>
      <c r="M31">
        <f>1-Tabel3[[#This Row],[Pf_vak_fromT]]</f>
        <v>0.99999016930638995</v>
      </c>
      <c r="N31">
        <f>MAX(1,1+0.9*Tabel3[[#This Row],[Lengte]]/300)</f>
        <v>2.9685100000000002</v>
      </c>
    </row>
    <row r="32" spans="1:14" x14ac:dyDescent="0.2">
      <c r="A32" t="s">
        <v>281</v>
      </c>
      <c r="B32" t="s">
        <v>88</v>
      </c>
      <c r="C32" t="s">
        <v>89</v>
      </c>
      <c r="D32">
        <v>702.85</v>
      </c>
      <c r="E32">
        <v>3.11</v>
      </c>
      <c r="F32" t="s">
        <v>178</v>
      </c>
      <c r="G32" t="s">
        <v>179</v>
      </c>
      <c r="H32" t="str">
        <f>RIGHT(Tabel3[[#This Row],[Pf_dsn]],LEN(Tabel3[[#This Row],[Pf_dsn]])-2)</f>
        <v>151,745</v>
      </c>
      <c r="I32">
        <v>151745</v>
      </c>
      <c r="J32">
        <f>1/Tabel3[[#This Row],[T_zonder_punten]]</f>
        <v>6.5900029655013343E-6</v>
      </c>
      <c r="K32">
        <f>Tabel3[[#This Row],[Pf_dsn_fromT]]*Tabel3[[#This Row],[N_vak]]</f>
        <v>2.049490922270915E-5</v>
      </c>
      <c r="L32" s="3">
        <f>1/Tabel3[[#This Row],[Pf_vak_fromT]]</f>
        <v>48792.604501607719</v>
      </c>
      <c r="M32">
        <f>1-Tabel3[[#This Row],[Pf_vak_fromT]]</f>
        <v>0.99997950509077727</v>
      </c>
      <c r="N32">
        <f>MAX(1,1+0.9*Tabel3[[#This Row],[Lengte]]/300)</f>
        <v>3.1085500000000001</v>
      </c>
    </row>
    <row r="33" spans="1:14" x14ac:dyDescent="0.2">
      <c r="A33" t="s">
        <v>282</v>
      </c>
      <c r="B33" t="s">
        <v>89</v>
      </c>
      <c r="C33" t="s">
        <v>90</v>
      </c>
      <c r="D33">
        <v>808</v>
      </c>
      <c r="E33">
        <v>3.42</v>
      </c>
      <c r="F33" t="s">
        <v>180</v>
      </c>
      <c r="G33" t="s">
        <v>181</v>
      </c>
      <c r="H33" t="str">
        <f>RIGHT(Tabel3[[#This Row],[Pf_dsn]],LEN(Tabel3[[#This Row],[Pf_dsn]])-2)</f>
        <v>11,000,000</v>
      </c>
      <c r="I33">
        <v>11000000</v>
      </c>
      <c r="J33">
        <f>1/Tabel3[[#This Row],[T_zonder_punten]]</f>
        <v>9.0909090909090915E-8</v>
      </c>
      <c r="K33">
        <f>Tabel3[[#This Row],[Pf_dsn_fromT]]*Tabel3[[#This Row],[N_vak]]</f>
        <v>3.1090909090909093E-7</v>
      </c>
      <c r="L33" s="3">
        <f>1/Tabel3[[#This Row],[Pf_vak_fromT]]</f>
        <v>3216374.2690058476</v>
      </c>
      <c r="M33">
        <f>1-Tabel3[[#This Row],[Pf_vak_fromT]]</f>
        <v>0.99999968909090908</v>
      </c>
      <c r="N33">
        <f>MAX(1,1+0.9*Tabel3[[#This Row],[Lengte]]/300)</f>
        <v>3.4239999999999999</v>
      </c>
    </row>
    <row r="34" spans="1:14" x14ac:dyDescent="0.2">
      <c r="A34" t="s">
        <v>283</v>
      </c>
      <c r="B34" t="s">
        <v>90</v>
      </c>
      <c r="C34" t="s">
        <v>91</v>
      </c>
      <c r="D34">
        <v>1184.99</v>
      </c>
      <c r="E34">
        <v>4.55</v>
      </c>
      <c r="F34" t="s">
        <v>182</v>
      </c>
      <c r="G34" t="s">
        <v>183</v>
      </c>
      <c r="H34" t="str">
        <f>RIGHT(Tabel3[[#This Row],[Pf_dsn]],LEN(Tabel3[[#This Row],[Pf_dsn]])-2)</f>
        <v>6,494</v>
      </c>
      <c r="I34">
        <v>6494</v>
      </c>
      <c r="J34">
        <f>1/Tabel3[[#This Row],[T_zonder_punten]]</f>
        <v>1.5398829688943641E-4</v>
      </c>
      <c r="K34">
        <f>Tabel3[[#This Row],[Pf_dsn_fromT]]*Tabel3[[#This Row],[N_vak]]</f>
        <v>7.006467508469356E-4</v>
      </c>
      <c r="L34" s="3">
        <f>1/Tabel3[[#This Row],[Pf_vak_fromT]]</f>
        <v>1427.2527472527472</v>
      </c>
      <c r="M34">
        <f>1-Tabel3[[#This Row],[Pf_vak_fromT]]</f>
        <v>0.99929935324915309</v>
      </c>
      <c r="N34">
        <f>MAX(1,1+0.9*Tabel3[[#This Row],[Lengte]]/300)</f>
        <v>4.55497</v>
      </c>
    </row>
    <row r="35" spans="1:14" x14ac:dyDescent="0.2">
      <c r="A35" t="s">
        <v>284</v>
      </c>
      <c r="B35" t="s">
        <v>91</v>
      </c>
      <c r="C35" t="s">
        <v>92</v>
      </c>
      <c r="D35">
        <v>323.26</v>
      </c>
      <c r="E35">
        <v>1.97</v>
      </c>
      <c r="F35" t="s">
        <v>184</v>
      </c>
      <c r="G35" t="s">
        <v>185</v>
      </c>
      <c r="H35" t="str">
        <f>RIGHT(Tabel3[[#This Row],[Pf_dsn]],LEN(Tabel3[[#This Row],[Pf_dsn]])-2)</f>
        <v>1,620,746</v>
      </c>
      <c r="I35">
        <v>1620746</v>
      </c>
      <c r="J35">
        <f>1/Tabel3[[#This Row],[T_zonder_punten]]</f>
        <v>6.1699982600604907E-7</v>
      </c>
      <c r="K35">
        <f>Tabel3[[#This Row],[Pf_dsn_fromT]]*Tabel3[[#This Row],[N_vak]]</f>
        <v>1.2154896572319167E-6</v>
      </c>
      <c r="L35" s="3">
        <f>1/Tabel3[[#This Row],[Pf_vak_fromT]]</f>
        <v>822713.70558375632</v>
      </c>
      <c r="M35">
        <f>1-Tabel3[[#This Row],[Pf_vak_fromT]]</f>
        <v>0.99999878451034274</v>
      </c>
      <c r="N35">
        <f>MAX(1,1+0.9*Tabel3[[#This Row],[Lengte]]/300)</f>
        <v>1.9697800000000001</v>
      </c>
    </row>
    <row r="36" spans="1:14" x14ac:dyDescent="0.2">
      <c r="A36" t="s">
        <v>285</v>
      </c>
      <c r="B36" t="s">
        <v>92</v>
      </c>
      <c r="C36" t="s">
        <v>93</v>
      </c>
      <c r="D36">
        <v>304.76</v>
      </c>
      <c r="E36">
        <v>1.91</v>
      </c>
      <c r="F36" t="s">
        <v>186</v>
      </c>
      <c r="G36" t="s">
        <v>187</v>
      </c>
      <c r="H36" t="str">
        <f>RIGHT(Tabel3[[#This Row],[Pf_dsn]],LEN(Tabel3[[#This Row],[Pf_dsn]])-2)</f>
        <v>568,182</v>
      </c>
      <c r="I36">
        <v>568182</v>
      </c>
      <c r="J36">
        <f>1/Tabel3[[#This Row],[T_zonder_punten]]</f>
        <v>1.7599994368001803E-6</v>
      </c>
      <c r="K36">
        <f>Tabel3[[#This Row],[Pf_dsn_fromT]]*Tabel3[[#This Row],[N_vak]]</f>
        <v>3.3615989242883445E-6</v>
      </c>
      <c r="L36" s="3">
        <f>1/Tabel3[[#This Row],[Pf_vak_fromT]]</f>
        <v>297477.48691099475</v>
      </c>
      <c r="M36">
        <f>1-Tabel3[[#This Row],[Pf_vak_fromT]]</f>
        <v>0.99999663840107567</v>
      </c>
      <c r="N36">
        <f>MAX(1,1+0.9*Tabel3[[#This Row],[Lengte]]/300)</f>
        <v>1.91428</v>
      </c>
    </row>
    <row r="37" spans="1:14" x14ac:dyDescent="0.2">
      <c r="A37" t="s">
        <v>286</v>
      </c>
      <c r="B37" t="s">
        <v>93</v>
      </c>
      <c r="C37" t="s">
        <v>94</v>
      </c>
      <c r="D37">
        <v>574.54</v>
      </c>
      <c r="E37">
        <v>2.72</v>
      </c>
      <c r="F37" t="s">
        <v>188</v>
      </c>
      <c r="G37" t="s">
        <v>189</v>
      </c>
      <c r="H37" t="str">
        <f>RIGHT(Tabel3[[#This Row],[Pf_dsn]],LEN(Tabel3[[#This Row],[Pf_dsn]])-2)</f>
        <v>43,859,649</v>
      </c>
      <c r="I37">
        <v>43859649</v>
      </c>
      <c r="J37">
        <f>1/Tabel3[[#This Row],[T_zonder_punten]]</f>
        <v>2.2800000063839999E-8</v>
      </c>
      <c r="K37">
        <f>Tabel3[[#This Row],[Pf_dsn_fromT]]*Tabel3[[#This Row],[N_vak]]</f>
        <v>6.2016000173644802E-8</v>
      </c>
      <c r="L37" s="3">
        <f>1/Tabel3[[#This Row],[Pf_vak_fromT]]</f>
        <v>16124870.955882352</v>
      </c>
      <c r="M37">
        <f>1-Tabel3[[#This Row],[Pf_vak_fromT]]</f>
        <v>0.99999993798399978</v>
      </c>
      <c r="N37">
        <f>MAX(1,1+0.9*Tabel3[[#This Row],[Lengte]]/300)</f>
        <v>2.7236200000000004</v>
      </c>
    </row>
    <row r="38" spans="1:14" x14ac:dyDescent="0.2">
      <c r="A38" t="s">
        <v>287</v>
      </c>
      <c r="B38" t="s">
        <v>94</v>
      </c>
      <c r="C38" t="s">
        <v>95</v>
      </c>
      <c r="D38">
        <v>286.94</v>
      </c>
      <c r="E38">
        <v>1.86</v>
      </c>
      <c r="F38" t="s">
        <v>190</v>
      </c>
      <c r="G38" t="s">
        <v>191</v>
      </c>
      <c r="H38" t="str">
        <f>RIGHT(Tabel3[[#This Row],[Pf_dsn]],LEN(Tabel3[[#This Row],[Pf_dsn]])-2)</f>
        <v>38,168</v>
      </c>
      <c r="I38">
        <v>38168</v>
      </c>
      <c r="J38">
        <f>1/Tabel3[[#This Row],[T_zonder_punten]]</f>
        <v>2.6199958080067072E-5</v>
      </c>
      <c r="K38">
        <f>Tabel3[[#This Row],[Pf_dsn_fromT]]*Tabel3[[#This Row],[N_vak]]</f>
        <v>4.8731922028924759E-5</v>
      </c>
      <c r="L38" s="3">
        <f>1/Tabel3[[#This Row],[Pf_vak_fromT]]</f>
        <v>20520.430107526878</v>
      </c>
      <c r="M38">
        <f>1-Tabel3[[#This Row],[Pf_vak_fromT]]</f>
        <v>0.99995126807797108</v>
      </c>
      <c r="N38">
        <f>MAX(1,1+0.9*Tabel3[[#This Row],[Lengte]]/300)</f>
        <v>1.8608199999999999</v>
      </c>
    </row>
    <row r="39" spans="1:14" x14ac:dyDescent="0.2">
      <c r="A39" t="s">
        <v>288</v>
      </c>
      <c r="B39" t="s">
        <v>95</v>
      </c>
      <c r="C39" t="s">
        <v>96</v>
      </c>
      <c r="D39">
        <v>59.69</v>
      </c>
      <c r="E39">
        <v>1.18</v>
      </c>
      <c r="F39" t="s">
        <v>192</v>
      </c>
      <c r="G39" t="s">
        <v>193</v>
      </c>
      <c r="H39" t="str">
        <f>RIGHT(Tabel3[[#This Row],[Pf_dsn]],LEN(Tabel3[[#This Row],[Pf_dsn]])-2)</f>
        <v>117,096</v>
      </c>
      <c r="I39">
        <v>117096</v>
      </c>
      <c r="J39">
        <f>1/Tabel3[[#This Row],[T_zonder_punten]]</f>
        <v>8.5400013664002193E-6</v>
      </c>
      <c r="K39">
        <f>Tabel3[[#This Row],[Pf_dsn_fromT]]*Tabel3[[#This Row],[N_vak]]</f>
        <v>1.0077201612352257E-5</v>
      </c>
      <c r="L39" s="3">
        <f>1/Tabel3[[#This Row],[Pf_vak_fromT]]</f>
        <v>99233.898305084746</v>
      </c>
      <c r="M39">
        <f>1-Tabel3[[#This Row],[Pf_vak_fromT]]</f>
        <v>0.99998992279838761</v>
      </c>
      <c r="N39">
        <f>MAX(1,1+0.9*Tabel3[[#This Row],[Lengte]]/300)</f>
        <v>1.1790700000000001</v>
      </c>
    </row>
    <row r="40" spans="1:14" x14ac:dyDescent="0.2">
      <c r="A40" t="s">
        <v>289</v>
      </c>
      <c r="B40" t="s">
        <v>96</v>
      </c>
      <c r="C40" t="s">
        <v>97</v>
      </c>
      <c r="D40">
        <v>1051.6099999999999</v>
      </c>
      <c r="E40">
        <v>4.1500000000000004</v>
      </c>
      <c r="F40" t="s">
        <v>194</v>
      </c>
      <c r="G40" t="s">
        <v>195</v>
      </c>
      <c r="H40" t="str">
        <f>RIGHT(Tabel3[[#This Row],[Pf_dsn]],LEN(Tabel3[[#This Row],[Pf_dsn]])-2)</f>
        <v>840,336</v>
      </c>
      <c r="I40">
        <v>840336</v>
      </c>
      <c r="J40">
        <f>1/Tabel3[[#This Row],[T_zonder_punten]]</f>
        <v>1.1900001904000305E-6</v>
      </c>
      <c r="K40">
        <f>Tabel3[[#This Row],[Pf_dsn_fromT]]*Tabel3[[#This Row],[N_vak]]</f>
        <v>4.9385007901601264E-6</v>
      </c>
      <c r="L40" s="3">
        <f>1/Tabel3[[#This Row],[Pf_vak_fromT]]</f>
        <v>202490.60240963855</v>
      </c>
      <c r="M40">
        <f>1-Tabel3[[#This Row],[Pf_vak_fromT]]</f>
        <v>0.9999950614992098</v>
      </c>
      <c r="N40">
        <f>MAX(1,1+0.9*Tabel3[[#This Row],[Lengte]]/300)</f>
        <v>4.1548300000000005</v>
      </c>
    </row>
    <row r="41" spans="1:14" x14ac:dyDescent="0.2">
      <c r="A41" t="s">
        <v>290</v>
      </c>
      <c r="B41" t="s">
        <v>97</v>
      </c>
      <c r="C41" t="s">
        <v>98</v>
      </c>
      <c r="D41">
        <v>477.65</v>
      </c>
      <c r="E41">
        <v>2.4300000000000002</v>
      </c>
      <c r="F41" t="s">
        <v>196</v>
      </c>
      <c r="G41" t="s">
        <v>197</v>
      </c>
      <c r="H41" t="str">
        <f>RIGHT(Tabel3[[#This Row],[Pf_dsn]],LEN(Tabel3[[#This Row],[Pf_dsn]])-2)</f>
        <v>383,142</v>
      </c>
      <c r="I41">
        <v>383142</v>
      </c>
      <c r="J41">
        <f>1/Tabel3[[#This Row],[T_zonder_punten]]</f>
        <v>2.6099983818010034E-6</v>
      </c>
      <c r="K41">
        <f>Tabel3[[#This Row],[Pf_dsn_fromT]]*Tabel3[[#This Row],[N_vak]]</f>
        <v>6.3422960677764392E-6</v>
      </c>
      <c r="L41" s="3">
        <f>1/Tabel3[[#This Row],[Pf_vak_fromT]]</f>
        <v>157671.60493827157</v>
      </c>
      <c r="M41">
        <f>1-Tabel3[[#This Row],[Pf_vak_fromT]]</f>
        <v>0.99999365770393223</v>
      </c>
      <c r="N41">
        <f>MAX(1,1+0.9*Tabel3[[#This Row],[Lengte]]/300)</f>
        <v>2.4329499999999999</v>
      </c>
    </row>
    <row r="42" spans="1:14" x14ac:dyDescent="0.2">
      <c r="A42" t="s">
        <v>291</v>
      </c>
      <c r="B42" t="s">
        <v>98</v>
      </c>
      <c r="C42" t="s">
        <v>99</v>
      </c>
      <c r="D42">
        <v>363.4</v>
      </c>
      <c r="E42">
        <v>2.09</v>
      </c>
      <c r="F42" t="s">
        <v>198</v>
      </c>
      <c r="G42" t="s">
        <v>199</v>
      </c>
      <c r="H42" t="str">
        <f>RIGHT(Tabel3[[#This Row],[Pf_dsn]],LEN(Tabel3[[#This Row],[Pf_dsn]])-2)</f>
        <v>30,120</v>
      </c>
      <c r="I42">
        <v>30120</v>
      </c>
      <c r="J42">
        <f>1/Tabel3[[#This Row],[T_zonder_punten]]</f>
        <v>3.3200531208499335E-5</v>
      </c>
      <c r="K42">
        <f>Tabel3[[#This Row],[Pf_dsn_fromT]]*Tabel3[[#This Row],[N_vak]]</f>
        <v>6.9389110225763612E-5</v>
      </c>
      <c r="L42" s="3">
        <f>1/Tabel3[[#This Row],[Pf_vak_fromT]]</f>
        <v>14411.483253588516</v>
      </c>
      <c r="M42">
        <f>1-Tabel3[[#This Row],[Pf_vak_fromT]]</f>
        <v>0.9999306108897742</v>
      </c>
      <c r="N42">
        <f>MAX(1,1+0.9*Tabel3[[#This Row],[Lengte]]/300)</f>
        <v>2.0902000000000003</v>
      </c>
    </row>
    <row r="43" spans="1:14" x14ac:dyDescent="0.2">
      <c r="A43" t="s">
        <v>292</v>
      </c>
      <c r="B43" t="s">
        <v>99</v>
      </c>
      <c r="C43" t="s">
        <v>100</v>
      </c>
      <c r="D43">
        <v>216.13</v>
      </c>
      <c r="E43">
        <v>1.65</v>
      </c>
      <c r="F43" t="s">
        <v>200</v>
      </c>
      <c r="G43" t="s">
        <v>201</v>
      </c>
      <c r="H43" t="str">
        <f>RIGHT(Tabel3[[#This Row],[Pf_dsn]],LEN(Tabel3[[#This Row],[Pf_dsn]])-2)</f>
        <v>531,914,894</v>
      </c>
      <c r="I43">
        <v>531914894</v>
      </c>
      <c r="J43">
        <f>1/Tabel3[[#This Row],[T_zonder_punten]]</f>
        <v>1.8799999986464001E-9</v>
      </c>
      <c r="K43">
        <f>Tabel3[[#This Row],[Pf_dsn_fromT]]*Tabel3[[#This Row],[N_vak]]</f>
        <v>3.1019999977665601E-9</v>
      </c>
      <c r="L43" s="3">
        <f>1/Tabel3[[#This Row],[Pf_vak_fromT]]</f>
        <v>322372663.030303</v>
      </c>
      <c r="M43">
        <f>1-Tabel3[[#This Row],[Pf_vak_fromT]]</f>
        <v>0.99999999689800001</v>
      </c>
      <c r="N43">
        <f>MAX(1,1+0.9*Tabel3[[#This Row],[Lengte]]/300)</f>
        <v>1.64839</v>
      </c>
    </row>
    <row r="44" spans="1:14" x14ac:dyDescent="0.2">
      <c r="A44" t="s">
        <v>293</v>
      </c>
      <c r="B44" t="s">
        <v>100</v>
      </c>
      <c r="C44" t="s">
        <v>101</v>
      </c>
      <c r="D44">
        <v>542.4</v>
      </c>
      <c r="E44">
        <v>2.63</v>
      </c>
      <c r="F44" t="s">
        <v>202</v>
      </c>
      <c r="G44" t="s">
        <v>203</v>
      </c>
      <c r="H44" t="str">
        <f>RIGHT(Tabel3[[#This Row],[Pf_dsn]],LEN(Tabel3[[#This Row],[Pf_dsn]])-2)</f>
        <v>12,224,939</v>
      </c>
      <c r="I44">
        <v>12224939</v>
      </c>
      <c r="J44">
        <f>1/Tabel3[[#This Row],[T_zonder_punten]]</f>
        <v>8.1799999165640007E-8</v>
      </c>
      <c r="K44">
        <f>Tabel3[[#This Row],[Pf_dsn_fromT]]*Tabel3[[#This Row],[N_vak]]</f>
        <v>2.1513399780563322E-7</v>
      </c>
      <c r="L44" s="3">
        <f>1/Tabel3[[#This Row],[Pf_vak_fromT]]</f>
        <v>4648265.7794676805</v>
      </c>
      <c r="M44">
        <f>1-Tabel3[[#This Row],[Pf_vak_fromT]]</f>
        <v>0.99999978486600216</v>
      </c>
      <c r="N44">
        <f>MAX(1,1+0.9*Tabel3[[#This Row],[Lengte]]/300)</f>
        <v>2.6272000000000002</v>
      </c>
    </row>
    <row r="45" spans="1:14" x14ac:dyDescent="0.2">
      <c r="A45" t="s">
        <v>294</v>
      </c>
      <c r="B45" t="s">
        <v>101</v>
      </c>
      <c r="C45" t="s">
        <v>102</v>
      </c>
      <c r="D45">
        <v>336.32</v>
      </c>
      <c r="E45">
        <v>2.0099999999999998</v>
      </c>
      <c r="F45" t="s">
        <v>204</v>
      </c>
      <c r="G45" t="s">
        <v>205</v>
      </c>
      <c r="H45" t="str">
        <f>RIGHT(Tabel3[[#This Row],[Pf_dsn]],LEN(Tabel3[[#This Row],[Pf_dsn]])-2)</f>
        <v>4,807,692</v>
      </c>
      <c r="I45">
        <v>4807692</v>
      </c>
      <c r="J45">
        <f>1/Tabel3[[#This Row],[T_zonder_punten]]</f>
        <v>2.0800001331200086E-7</v>
      </c>
      <c r="K45">
        <f>Tabel3[[#This Row],[Pf_dsn_fromT]]*Tabel3[[#This Row],[N_vak]]</f>
        <v>4.1808002675712165E-7</v>
      </c>
      <c r="L45" s="3">
        <f>1/Tabel3[[#This Row],[Pf_vak_fromT]]</f>
        <v>2391886.5671641794</v>
      </c>
      <c r="M45">
        <f>1-Tabel3[[#This Row],[Pf_vak_fromT]]</f>
        <v>0.99999958191997329</v>
      </c>
      <c r="N45">
        <f>MAX(1,1+0.9*Tabel3[[#This Row],[Lengte]]/300)</f>
        <v>2.0089600000000001</v>
      </c>
    </row>
    <row r="46" spans="1:14" x14ac:dyDescent="0.2">
      <c r="A46" t="s">
        <v>295</v>
      </c>
      <c r="B46" t="s">
        <v>102</v>
      </c>
      <c r="C46" t="s">
        <v>103</v>
      </c>
      <c r="D46">
        <v>327.89</v>
      </c>
      <c r="E46">
        <v>1.98</v>
      </c>
      <c r="F46" t="s">
        <v>206</v>
      </c>
      <c r="G46" t="s">
        <v>207</v>
      </c>
      <c r="H46" t="str">
        <f>RIGHT(Tabel3[[#This Row],[Pf_dsn]],LEN(Tabel3[[#This Row],[Pf_dsn]])-2)</f>
        <v>416,667</v>
      </c>
      <c r="I46">
        <v>416667</v>
      </c>
      <c r="J46">
        <f>1/Tabel3[[#This Row],[T_zonder_punten]]</f>
        <v>2.3999980800015358E-6</v>
      </c>
      <c r="K46">
        <f>Tabel3[[#This Row],[Pf_dsn_fromT]]*Tabel3[[#This Row],[N_vak]]</f>
        <v>4.7519961984030407E-6</v>
      </c>
      <c r="L46" s="3">
        <f>1/Tabel3[[#This Row],[Pf_vak_fromT]]</f>
        <v>210437.87878787881</v>
      </c>
      <c r="M46">
        <f>1-Tabel3[[#This Row],[Pf_vak_fromT]]</f>
        <v>0.99999524800380157</v>
      </c>
      <c r="N46">
        <f>MAX(1,1+0.9*Tabel3[[#This Row],[Lengte]]/300)</f>
        <v>1.98367</v>
      </c>
    </row>
    <row r="47" spans="1:14" x14ac:dyDescent="0.2">
      <c r="A47" t="s">
        <v>296</v>
      </c>
      <c r="B47" t="s">
        <v>103</v>
      </c>
      <c r="C47" t="s">
        <v>104</v>
      </c>
      <c r="D47">
        <v>252.91</v>
      </c>
      <c r="E47">
        <v>1.76</v>
      </c>
      <c r="F47" t="s">
        <v>208</v>
      </c>
      <c r="G47" t="s">
        <v>209</v>
      </c>
      <c r="H47" t="str">
        <f>RIGHT(Tabel3[[#This Row],[Pf_dsn]],LEN(Tabel3[[#This Row],[Pf_dsn]])-2)</f>
        <v>10,460,251</v>
      </c>
      <c r="I47">
        <v>10460251</v>
      </c>
      <c r="J47">
        <f>1/Tabel3[[#This Row],[T_zonder_punten]]</f>
        <v>9.5600000420639998E-8</v>
      </c>
      <c r="K47">
        <f>Tabel3[[#This Row],[Pf_dsn_fromT]]*Tabel3[[#This Row],[N_vak]]</f>
        <v>1.682560007403264E-7</v>
      </c>
      <c r="L47" s="3">
        <f>1/Tabel3[[#This Row],[Pf_vak_fromT]]</f>
        <v>5943324.4318181816</v>
      </c>
      <c r="M47">
        <f>1-Tabel3[[#This Row],[Pf_vak_fromT]]</f>
        <v>0.99999983174399931</v>
      </c>
      <c r="N47">
        <f>MAX(1,1+0.9*Tabel3[[#This Row],[Lengte]]/300)</f>
        <v>1.7587299999999999</v>
      </c>
    </row>
    <row r="48" spans="1:14" x14ac:dyDescent="0.2">
      <c r="A48" t="s">
        <v>297</v>
      </c>
      <c r="B48" t="s">
        <v>104</v>
      </c>
      <c r="C48" t="s">
        <v>105</v>
      </c>
      <c r="D48">
        <v>826.26</v>
      </c>
      <c r="E48">
        <v>3.48</v>
      </c>
      <c r="F48" t="s">
        <v>210</v>
      </c>
      <c r="G48" t="s">
        <v>211</v>
      </c>
      <c r="H48" t="str">
        <f>RIGHT(Tabel3[[#This Row],[Pf_dsn]],LEN(Tabel3[[#This Row],[Pf_dsn]])-2)</f>
        <v>11,350,738</v>
      </c>
      <c r="I48">
        <v>11350738</v>
      </c>
      <c r="J48">
        <f>1/Tabel3[[#This Row],[T_zonder_punten]]</f>
        <v>8.8099998431820024E-8</v>
      </c>
      <c r="K48">
        <f>Tabel3[[#This Row],[Pf_dsn_fromT]]*Tabel3[[#This Row],[N_vak]]</f>
        <v>3.0658799454273368E-7</v>
      </c>
      <c r="L48" s="3">
        <f>1/Tabel3[[#This Row],[Pf_vak_fromT]]</f>
        <v>3261706.3218390807</v>
      </c>
      <c r="M48">
        <f>1-Tabel3[[#This Row],[Pf_vak_fromT]]</f>
        <v>0.99999969341200545</v>
      </c>
      <c r="N48">
        <f>MAX(1,1+0.9*Tabel3[[#This Row],[Lengte]]/300)</f>
        <v>3.47878</v>
      </c>
    </row>
    <row r="49" spans="1:14" x14ac:dyDescent="0.2">
      <c r="A49" t="s">
        <v>298</v>
      </c>
      <c r="B49" t="s">
        <v>105</v>
      </c>
      <c r="C49" t="s">
        <v>106</v>
      </c>
      <c r="D49">
        <v>529.24</v>
      </c>
      <c r="E49">
        <v>2.59</v>
      </c>
      <c r="F49" t="s">
        <v>212</v>
      </c>
      <c r="G49" t="s">
        <v>213</v>
      </c>
      <c r="H49" t="str">
        <f>RIGHT(Tabel3[[#This Row],[Pf_dsn]],LEN(Tabel3[[#This Row],[Pf_dsn]])-2)</f>
        <v>10,845,987</v>
      </c>
      <c r="I49">
        <v>10845987</v>
      </c>
      <c r="J49">
        <f>1/Tabel3[[#This Row],[T_zonder_punten]]</f>
        <v>9.2199999870920006E-8</v>
      </c>
      <c r="K49">
        <f>Tabel3[[#This Row],[Pf_dsn_fromT]]*Tabel3[[#This Row],[N_vak]]</f>
        <v>2.3879799966568281E-7</v>
      </c>
      <c r="L49" s="3">
        <f>1/Tabel3[[#This Row],[Pf_vak_fromT]]</f>
        <v>4187639.7683397681</v>
      </c>
      <c r="M49">
        <f>1-Tabel3[[#This Row],[Pf_vak_fromT]]</f>
        <v>0.99999976120200029</v>
      </c>
      <c r="N49">
        <f>MAX(1,1+0.9*Tabel3[[#This Row],[Lengte]]/300)</f>
        <v>2.58772</v>
      </c>
    </row>
    <row r="50" spans="1:14" x14ac:dyDescent="0.2">
      <c r="A50" t="s">
        <v>299</v>
      </c>
      <c r="B50" t="s">
        <v>106</v>
      </c>
      <c r="C50" t="s">
        <v>107</v>
      </c>
      <c r="D50">
        <v>1135.27</v>
      </c>
      <c r="E50">
        <v>4.41</v>
      </c>
      <c r="F50" t="s">
        <v>214</v>
      </c>
      <c r="G50" t="s">
        <v>215</v>
      </c>
      <c r="H50" t="str">
        <f>RIGHT(Tabel3[[#This Row],[Pf_dsn]],LEN(Tabel3[[#This Row],[Pf_dsn]])-2)</f>
        <v>13,661,202</v>
      </c>
      <c r="I50">
        <v>13661202</v>
      </c>
      <c r="J50">
        <f>1/Tabel3[[#This Row],[T_zonder_punten]]</f>
        <v>7.3200000995520014E-8</v>
      </c>
      <c r="K50">
        <f>Tabel3[[#This Row],[Pf_dsn_fromT]]*Tabel3[[#This Row],[N_vak]]</f>
        <v>3.2281200439024325E-7</v>
      </c>
      <c r="L50" s="3">
        <f>1/Tabel3[[#This Row],[Pf_vak_fromT]]</f>
        <v>3097778.2312925169</v>
      </c>
      <c r="M50">
        <f>1-Tabel3[[#This Row],[Pf_vak_fromT]]</f>
        <v>0.99999967718799565</v>
      </c>
      <c r="N50">
        <f>MAX(1,1+0.9*Tabel3[[#This Row],[Lengte]]/300)</f>
        <v>4.4058100000000007</v>
      </c>
    </row>
    <row r="51" spans="1:14" x14ac:dyDescent="0.2">
      <c r="A51" t="s">
        <v>300</v>
      </c>
      <c r="B51" t="s">
        <v>107</v>
      </c>
      <c r="C51" t="s">
        <v>108</v>
      </c>
      <c r="D51">
        <v>1411.65</v>
      </c>
      <c r="E51">
        <v>5.23</v>
      </c>
      <c r="F51" t="s">
        <v>216</v>
      </c>
      <c r="G51" t="s">
        <v>217</v>
      </c>
      <c r="H51" t="str">
        <f>RIGHT(Tabel3[[#This Row],[Pf_dsn]],LEN(Tabel3[[#This Row],[Pf_dsn]])-2)</f>
        <v>256,410</v>
      </c>
      <c r="I51">
        <v>256410</v>
      </c>
      <c r="J51">
        <f>1/Tabel3[[#This Row],[T_zonder_punten]]</f>
        <v>3.9000039000038998E-6</v>
      </c>
      <c r="K51">
        <f>Tabel3[[#This Row],[Pf_dsn_fromT]]*Tabel3[[#This Row],[N_vak]]</f>
        <v>2.0397020397020398E-5</v>
      </c>
      <c r="L51" s="3">
        <f>1/Tabel3[[#This Row],[Pf_vak_fromT]]</f>
        <v>49026.768642447416</v>
      </c>
      <c r="M51">
        <f>1-Tabel3[[#This Row],[Pf_vak_fromT]]</f>
        <v>0.99997960297960298</v>
      </c>
      <c r="N51">
        <f>MAX(1,1+0.9*Tabel3[[#This Row],[Lengte]]/300)</f>
        <v>5.2349500000000004</v>
      </c>
    </row>
    <row r="52" spans="1:14" x14ac:dyDescent="0.2">
      <c r="A52" t="s">
        <v>301</v>
      </c>
      <c r="B52" t="s">
        <v>108</v>
      </c>
      <c r="C52" t="s">
        <v>109</v>
      </c>
      <c r="D52">
        <v>356.08</v>
      </c>
      <c r="E52">
        <v>2.0699999999999998</v>
      </c>
      <c r="F52" t="s">
        <v>218</v>
      </c>
      <c r="G52" t="s">
        <v>219</v>
      </c>
      <c r="H52" t="str">
        <f>RIGHT(Tabel3[[#This Row],[Pf_dsn]],LEN(Tabel3[[#This Row],[Pf_dsn]])-2)</f>
        <v>126,903,553</v>
      </c>
      <c r="I52">
        <v>126903553</v>
      </c>
      <c r="J52">
        <f>1/Tabel3[[#This Row],[T_zonder_punten]]</f>
        <v>7.8800000185968003E-9</v>
      </c>
      <c r="K52">
        <f>Tabel3[[#This Row],[Pf_dsn_fromT]]*Tabel3[[#This Row],[N_vak]]</f>
        <v>1.6311600038495377E-8</v>
      </c>
      <c r="L52" s="3">
        <f>1/Tabel3[[#This Row],[Pf_vak_fromT]]</f>
        <v>61306064.251207724</v>
      </c>
      <c r="M52">
        <f>1-Tabel3[[#This Row],[Pf_vak_fromT]]</f>
        <v>0.99999998368839993</v>
      </c>
      <c r="N52">
        <f>MAX(1,1+0.9*Tabel3[[#This Row],[Lengte]]/300)</f>
        <v>2.0682399999999999</v>
      </c>
    </row>
    <row r="53" spans="1:14" x14ac:dyDescent="0.2">
      <c r="A53" t="s">
        <v>302</v>
      </c>
      <c r="B53" t="s">
        <v>109</v>
      </c>
      <c r="C53" t="s">
        <v>110</v>
      </c>
      <c r="D53">
        <v>208.52</v>
      </c>
      <c r="E53">
        <v>1.63</v>
      </c>
      <c r="F53" t="s">
        <v>220</v>
      </c>
      <c r="G53" t="s">
        <v>221</v>
      </c>
      <c r="H53" t="str">
        <f>RIGHT(Tabel3[[#This Row],[Pf_dsn]],LEN(Tabel3[[#This Row],[Pf_dsn]])-2)</f>
        <v>500,000,000</v>
      </c>
      <c r="I53">
        <v>500000000</v>
      </c>
      <c r="J53">
        <f>1/Tabel3[[#This Row],[T_zonder_punten]]</f>
        <v>2.0000000000000001E-9</v>
      </c>
      <c r="K53">
        <f>Tabel3[[#This Row],[Pf_dsn_fromT]]*Tabel3[[#This Row],[N_vak]]</f>
        <v>3.2599999999999999E-9</v>
      </c>
      <c r="L53" s="3">
        <f>1/Tabel3[[#This Row],[Pf_vak_fromT]]</f>
        <v>306748466.25766873</v>
      </c>
      <c r="M53">
        <f>1-Tabel3[[#This Row],[Pf_vak_fromT]]</f>
        <v>0.99999999673999995</v>
      </c>
      <c r="N53">
        <f>MAX(1,1+0.9*Tabel3[[#This Row],[Lengte]]/300)</f>
        <v>1.6255600000000001</v>
      </c>
    </row>
    <row r="54" spans="1:14" x14ac:dyDescent="0.2">
      <c r="A54" t="s">
        <v>303</v>
      </c>
      <c r="B54" t="s">
        <v>110</v>
      </c>
      <c r="C54" t="s">
        <v>111</v>
      </c>
      <c r="D54">
        <v>305.54000000000002</v>
      </c>
      <c r="E54">
        <v>1.92</v>
      </c>
      <c r="F54" t="s">
        <v>222</v>
      </c>
      <c r="G54" t="s">
        <v>223</v>
      </c>
      <c r="H54" t="str">
        <f>RIGHT(Tabel3[[#This Row],[Pf_dsn]],LEN(Tabel3[[#This Row],[Pf_dsn]])-2)</f>
        <v>111,358,575</v>
      </c>
      <c r="I54">
        <v>111358575</v>
      </c>
      <c r="J54">
        <f>1/Tabel3[[#This Row],[T_zonder_punten]]</f>
        <v>8.9799999685700004E-9</v>
      </c>
      <c r="K54">
        <f>Tabel3[[#This Row],[Pf_dsn_fromT]]*Tabel3[[#This Row],[N_vak]]</f>
        <v>1.72415999396544E-8</v>
      </c>
      <c r="L54" s="3">
        <f>1/Tabel3[[#This Row],[Pf_vak_fromT]]</f>
        <v>57999257.8125</v>
      </c>
      <c r="M54">
        <f>1-Tabel3[[#This Row],[Pf_vak_fromT]]</f>
        <v>0.99999998275840007</v>
      </c>
      <c r="N54">
        <f>MAX(1,1+0.9*Tabel3[[#This Row],[Lengte]]/300)</f>
        <v>1.91662</v>
      </c>
    </row>
    <row r="55" spans="1:14" x14ac:dyDescent="0.2">
      <c r="A55" t="s">
        <v>304</v>
      </c>
      <c r="B55" t="s">
        <v>111</v>
      </c>
      <c r="C55" t="s">
        <v>112</v>
      </c>
      <c r="D55">
        <v>334.99</v>
      </c>
      <c r="E55">
        <v>2</v>
      </c>
      <c r="F55" t="s">
        <v>224</v>
      </c>
      <c r="G55" t="s">
        <v>225</v>
      </c>
      <c r="H55" t="str">
        <f>RIGHT(Tabel3[[#This Row],[Pf_dsn]],LEN(Tabel3[[#This Row],[Pf_dsn]])-2)</f>
        <v>591,715,976</v>
      </c>
      <c r="I55">
        <v>591715976</v>
      </c>
      <c r="J55">
        <f>1/Tabel3[[#This Row],[T_zonder_punten]]</f>
        <v>1.6900000009464E-9</v>
      </c>
      <c r="K55">
        <f>Tabel3[[#This Row],[Pf_dsn_fromT]]*Tabel3[[#This Row],[N_vak]]</f>
        <v>3.3800000018928001E-9</v>
      </c>
      <c r="L55" s="3">
        <f>1/Tabel3[[#This Row],[Pf_vak_fromT]]</f>
        <v>295857988</v>
      </c>
      <c r="M55">
        <f>1-Tabel3[[#This Row],[Pf_vak_fromT]]</f>
        <v>0.99999999662000005</v>
      </c>
      <c r="N55">
        <f>MAX(1,1+0.9*Tabel3[[#This Row],[Lengte]]/300)</f>
        <v>2.0049700000000001</v>
      </c>
    </row>
    <row r="56" spans="1:14" x14ac:dyDescent="0.2">
      <c r="A56" t="s">
        <v>305</v>
      </c>
      <c r="B56" t="s">
        <v>112</v>
      </c>
      <c r="C56" t="s">
        <v>113</v>
      </c>
      <c r="D56">
        <v>1297.6500000000001</v>
      </c>
      <c r="E56">
        <v>4.8899999999999997</v>
      </c>
      <c r="F56" t="s">
        <v>226</v>
      </c>
      <c r="G56" t="s">
        <v>227</v>
      </c>
      <c r="H56" t="str">
        <f>RIGHT(Tabel3[[#This Row],[Pf_dsn]],LEN(Tabel3[[#This Row],[Pf_dsn]])-2)</f>
        <v>163,398,693</v>
      </c>
      <c r="I56">
        <v>163398693</v>
      </c>
      <c r="J56">
        <f>1/Tabel3[[#This Row],[T_zonder_punten]]</f>
        <v>6.1199999929007997E-9</v>
      </c>
      <c r="K56">
        <f>Tabel3[[#This Row],[Pf_dsn_fromT]]*Tabel3[[#This Row],[N_vak]]</f>
        <v>2.9926799965284907E-8</v>
      </c>
      <c r="L56" s="3">
        <f>1/Tabel3[[#This Row],[Pf_vak_fromT]]</f>
        <v>33414865.644171786</v>
      </c>
      <c r="M56">
        <f>1-Tabel3[[#This Row],[Pf_vak_fromT]]</f>
        <v>0.99999997007320007</v>
      </c>
      <c r="N56">
        <f>MAX(1,1+0.9*Tabel3[[#This Row],[Lengte]]/300)</f>
        <v>4.8929500000000008</v>
      </c>
    </row>
    <row r="57" spans="1:14" x14ac:dyDescent="0.2">
      <c r="A57" t="s">
        <v>306</v>
      </c>
      <c r="B57" t="s">
        <v>113</v>
      </c>
      <c r="C57" t="s">
        <v>114</v>
      </c>
      <c r="D57">
        <v>514.86</v>
      </c>
      <c r="E57">
        <v>2.54</v>
      </c>
      <c r="F57" t="s">
        <v>228</v>
      </c>
      <c r="G57" t="s">
        <v>229</v>
      </c>
      <c r="H57" t="str">
        <f>RIGHT(Tabel3[[#This Row],[Pf_dsn]],LEN(Tabel3[[#This Row],[Pf_dsn]])-2)</f>
        <v>27,322,404,372</v>
      </c>
      <c r="I57">
        <v>27322404372</v>
      </c>
      <c r="J57">
        <f>1/Tabel3[[#This Row],[T_zonder_punten]]</f>
        <v>3.6599999999443677E-11</v>
      </c>
      <c r="K57">
        <f>Tabel3[[#This Row],[Pf_dsn_fromT]]*Tabel3[[#This Row],[N_vak]]</f>
        <v>9.2963999998586946E-11</v>
      </c>
      <c r="L57" s="3">
        <f>1/Tabel3[[#This Row],[Pf_vak_fromT]]</f>
        <v>10756852114.96063</v>
      </c>
      <c r="M57">
        <f>1-Tabel3[[#This Row],[Pf_vak_fromT]]</f>
        <v>0.99999999990703603</v>
      </c>
      <c r="N57">
        <f>MAX(1,1+0.9*Tabel3[[#This Row],[Lengte]]/300)</f>
        <v>2.5445799999999998</v>
      </c>
    </row>
    <row r="58" spans="1:14" x14ac:dyDescent="0.2">
      <c r="A58" t="s">
        <v>307</v>
      </c>
      <c r="B58" t="s">
        <v>114</v>
      </c>
      <c r="C58" t="s">
        <v>115</v>
      </c>
      <c r="D58">
        <v>326.20999999999998</v>
      </c>
      <c r="E58">
        <v>1.98</v>
      </c>
      <c r="F58" t="s">
        <v>230</v>
      </c>
      <c r="G58" t="s">
        <v>231</v>
      </c>
      <c r="H58" t="str">
        <f>RIGHT(Tabel3[[#This Row],[Pf_dsn]],LEN(Tabel3[[#This Row],[Pf_dsn]])-2)</f>
        <v>3,215,434,083,601,290,000,000,000,000,000,000,000,000,000,000,000,000,000,000,000,000,000,000,000,000,000,000,000,000,000,000,000,000,000,000</v>
      </c>
      <c r="I58">
        <v>3.2154340836012902E+105</v>
      </c>
      <c r="J58">
        <f>1/Tabel3[[#This Row],[T_zonder_punten]]</f>
        <v>3.1099999999999963E-106</v>
      </c>
      <c r="K58">
        <f>Tabel3[[#This Row],[Pf_dsn_fromT]]*Tabel3[[#This Row],[N_vak]]</f>
        <v>6.1577999999999929E-106</v>
      </c>
      <c r="L58" s="3">
        <f>1/Tabel3[[#This Row],[Pf_vak_fromT]]</f>
        <v>1.6239566078794392E+105</v>
      </c>
      <c r="M58">
        <f>1-Tabel3[[#This Row],[Pf_vak_fromT]]</f>
        <v>1</v>
      </c>
      <c r="N58">
        <f>MAX(1,1+0.9*Tabel3[[#This Row],[Lengte]]/300)</f>
        <v>1.9786299999999999</v>
      </c>
    </row>
    <row r="59" spans="1:14" x14ac:dyDescent="0.2">
      <c r="A59" t="s">
        <v>308</v>
      </c>
      <c r="B59" t="s">
        <v>115</v>
      </c>
      <c r="C59" t="s">
        <v>116</v>
      </c>
      <c r="D59">
        <v>219.56</v>
      </c>
      <c r="E59">
        <v>1.66</v>
      </c>
      <c r="F59" t="s">
        <v>232</v>
      </c>
      <c r="G59" t="s">
        <v>233</v>
      </c>
      <c r="H59" t="str">
        <f>RIGHT(Tabel3[[#This Row],[Pf_dsn]],LEN(Tabel3[[#This Row],[Pf_dsn]])-2)</f>
        <v>32,786,885</v>
      </c>
      <c r="I59">
        <v>32786885</v>
      </c>
      <c r="J59">
        <f>1/Tabel3[[#This Row],[T_zonder_punten]]</f>
        <v>3.0500000228750004E-8</v>
      </c>
      <c r="K59">
        <f>Tabel3[[#This Row],[Pf_dsn_fromT]]*Tabel3[[#This Row],[N_vak]]</f>
        <v>5.0630000379725007E-8</v>
      </c>
      <c r="L59" s="3">
        <f>1/Tabel3[[#This Row],[Pf_vak_fromT]]</f>
        <v>19751135.542168673</v>
      </c>
      <c r="M59">
        <f>1-Tabel3[[#This Row],[Pf_vak_fromT]]</f>
        <v>0.99999994936999959</v>
      </c>
      <c r="N59">
        <f>MAX(1,1+0.9*Tabel3[[#This Row],[Lengte]]/300)</f>
        <v>1.6586799999999999</v>
      </c>
    </row>
    <row r="60" spans="1:14" x14ac:dyDescent="0.2">
      <c r="A60" t="s">
        <v>309</v>
      </c>
      <c r="B60" t="s">
        <v>116</v>
      </c>
      <c r="C60" t="s">
        <v>117</v>
      </c>
      <c r="D60">
        <v>464.09</v>
      </c>
      <c r="E60">
        <v>2.39</v>
      </c>
      <c r="F60" t="s">
        <v>234</v>
      </c>
      <c r="G60" t="s">
        <v>235</v>
      </c>
      <c r="H60" t="str">
        <f>RIGHT(Tabel3[[#This Row],[Pf_dsn]],LEN(Tabel3[[#This Row],[Pf_dsn]])-2)</f>
        <v>387,596,899</v>
      </c>
      <c r="I60">
        <v>387596899</v>
      </c>
      <c r="J60">
        <f>1/Tabel3[[#This Row],[T_zonder_punten]]</f>
        <v>2.5800000014964001E-9</v>
      </c>
      <c r="K60">
        <f>Tabel3[[#This Row],[Pf_dsn_fromT]]*Tabel3[[#This Row],[N_vak]]</f>
        <v>6.1662000035763969E-9</v>
      </c>
      <c r="L60" s="3">
        <f>1/Tabel3[[#This Row],[Pf_vak_fromT]]</f>
        <v>162174434.72803345</v>
      </c>
      <c r="M60">
        <f>1-Tabel3[[#This Row],[Pf_vak_fromT]]</f>
        <v>0.9999999938338</v>
      </c>
      <c r="N60">
        <f>MAX(1,1+0.9*Tabel3[[#This Row],[Lengte]]/300)</f>
        <v>2.3922699999999999</v>
      </c>
    </row>
    <row r="62" spans="1:14" x14ac:dyDescent="0.2">
      <c r="L62" t="s">
        <v>250</v>
      </c>
      <c r="M62">
        <f>1-PRODUCT(Tabel3[1-Pf_vak])</f>
        <v>1.5345444045240186E-2</v>
      </c>
    </row>
    <row r="63" spans="1:14" x14ac:dyDescent="0.2">
      <c r="L63" t="s">
        <v>249</v>
      </c>
      <c r="M63" s="3">
        <f>1/M62</f>
        <v>65.165921367402703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componenten</vt:lpstr>
      <vt:lpstr>faalmechanismen</vt:lpstr>
      <vt:lpstr>ExportRiskeer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Kapinga, Sander</cp:lastModifiedBy>
  <cp:revision>6</cp:revision>
  <dcterms:created xsi:type="dcterms:W3CDTF">2025-09-26T09:23:37Z</dcterms:created>
  <dcterms:modified xsi:type="dcterms:W3CDTF">2026-01-08T09:26:31Z</dcterms:modified>
  <dc:language>nl-NL</dc:language>
</cp:coreProperties>
</file>